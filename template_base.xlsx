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mmary " sheetId="1" r:id="rId5"/>
    <sheet state="visible" name="SEO Template" sheetId="2" r:id="rId6"/>
    <sheet state="hidden" name="RTEMPLATE" sheetId="3" r:id="rId7"/>
    <sheet state="hidden" name="ADTemplate" sheetId="4" r:id="rId8"/>
    <sheet state="hidden" name="DSTEMPLATE" sheetId="5" r:id="rId9"/>
    <sheet state="hidden" name="Template" sheetId="6" r:id="rId10"/>
  </sheets>
  <definedNames/>
  <calcPr/>
</workbook>
</file>

<file path=xl/sharedStrings.xml><?xml version="1.0" encoding="utf-8"?>
<sst xmlns="http://schemas.openxmlformats.org/spreadsheetml/2006/main" count="581" uniqueCount="94">
  <si>
    <t>Max's Numbers</t>
  </si>
  <si>
    <t>James' Numbers</t>
  </si>
  <si>
    <t>Task</t>
  </si>
  <si>
    <t>Value</t>
  </si>
  <si>
    <t>8hr</t>
  </si>
  <si>
    <t>per day</t>
  </si>
  <si>
    <t xml:space="preserve">6hr </t>
  </si>
  <si>
    <t>Product hours per day</t>
  </si>
  <si>
    <t>SEO Tasks</t>
  </si>
  <si>
    <t>Daily Target</t>
  </si>
  <si>
    <t>Normal Task</t>
  </si>
  <si>
    <t>Basic</t>
  </si>
  <si>
    <t xml:space="preserve">30min </t>
  </si>
  <si>
    <t>Content Task</t>
  </si>
  <si>
    <t>Content</t>
  </si>
  <si>
    <t>1-8hr</t>
  </si>
  <si>
    <t>Web Team</t>
  </si>
  <si>
    <t>Converto Build</t>
  </si>
  <si>
    <t>Converto Changes</t>
  </si>
  <si>
    <t>DIFM Build</t>
  </si>
  <si>
    <t>- Homepage</t>
  </si>
  <si>
    <t>- Internal</t>
  </si>
  <si>
    <t xml:space="preserve">- Add Content and Complete All Pages
      - no. of pages
      - no. blogs/articles </t>
  </si>
  <si>
    <t>Manuall add</t>
  </si>
  <si>
    <t>Ecomm DIFM</t>
  </si>
  <si>
    <t>Ad Hoc</t>
  </si>
  <si>
    <t>DIFM Changes</t>
  </si>
  <si>
    <t xml:space="preserve">- change colour scheme </t>
  </si>
  <si>
    <t>- change photos on all pages</t>
  </si>
  <si>
    <t>manual add</t>
  </si>
  <si>
    <t>Update pages with new text or images</t>
  </si>
  <si>
    <t>- create new page/ article</t>
  </si>
  <si>
    <t>30mins-1hour</t>
  </si>
  <si>
    <t>Adolf (wizard)</t>
  </si>
  <si>
    <t>Code Installs</t>
  </si>
  <si>
    <t>Create internal page</t>
  </si>
  <si>
    <t>Data Feed Installs</t>
  </si>
  <si>
    <t>2-4 hours</t>
  </si>
  <si>
    <t>Data Feed Troubleshoot</t>
  </si>
  <si>
    <t>Rosalynn</t>
  </si>
  <si>
    <t>FEatured product in category page</t>
  </si>
  <si>
    <t>8-10 hours</t>
  </si>
  <si>
    <t xml:space="preserve">Create and update  internal page </t>
  </si>
  <si>
    <t>Featured product in category page</t>
  </si>
  <si>
    <t>All data are extracted from Hubspot</t>
  </si>
  <si>
    <t xml:space="preserve">June 01 - 05, 2026 </t>
  </si>
  <si>
    <t>Newly Assigned Task</t>
  </si>
  <si>
    <t>Monday</t>
  </si>
  <si>
    <t>Tuesday</t>
  </si>
  <si>
    <t>Wednesday</t>
  </si>
  <si>
    <t>Thursday</t>
  </si>
  <si>
    <t>Friday</t>
  </si>
  <si>
    <t>Total Assigned Task</t>
  </si>
  <si>
    <t>NAME</t>
  </si>
  <si>
    <t>Task Completed</t>
  </si>
  <si>
    <t xml:space="preserve">Monday </t>
  </si>
  <si>
    <t>Total Completed Task</t>
  </si>
  <si>
    <t xml:space="preserve">Target Goal </t>
  </si>
  <si>
    <t>Total %</t>
  </si>
  <si>
    <t>Weekly Total</t>
  </si>
  <si>
    <t>Content Upload</t>
  </si>
  <si>
    <t>Completed</t>
  </si>
  <si>
    <t>Weight</t>
  </si>
  <si>
    <t>Total Completed</t>
  </si>
  <si>
    <t>Overall Total</t>
  </si>
  <si>
    <t>Conversion Multiplier</t>
  </si>
  <si>
    <t>Total Count</t>
  </si>
  <si>
    <t xml:space="preserve">All data is extracted from Hubspot and personal tracker with an Asana link that can be found here. </t>
  </si>
  <si>
    <t>ROSE</t>
  </si>
  <si>
    <t>SEO BULK</t>
  </si>
  <si>
    <t>Web task</t>
  </si>
  <si>
    <t>ADOLF</t>
  </si>
  <si>
    <t>SEO Task</t>
  </si>
  <si>
    <t>Kae</t>
  </si>
  <si>
    <t>(DIFM Build)Homepage</t>
  </si>
  <si>
    <t>(DIFM Build)Internal</t>
  </si>
  <si>
    <t>Add Content and Complete All Pages</t>
  </si>
  <si>
    <t xml:space="preserve">change colour scheme </t>
  </si>
  <si>
    <t>change photos on all pages</t>
  </si>
  <si>
    <t xml:space="preserve"> create new page/ article</t>
  </si>
  <si>
    <t>All data are extracted from Salesforce</t>
  </si>
  <si>
    <t>Urgent Task</t>
  </si>
  <si>
    <t>Follow up</t>
  </si>
  <si>
    <t>In Progress</t>
  </si>
  <si>
    <t>Waiting on Someone else</t>
  </si>
  <si>
    <t>Bernard</t>
  </si>
  <si>
    <t>Overall count</t>
  </si>
  <si>
    <t>Target Goal</t>
  </si>
  <si>
    <t>James</t>
  </si>
  <si>
    <t>Jone Filip</t>
  </si>
  <si>
    <t>KEN</t>
  </si>
  <si>
    <t>Kevin</t>
  </si>
  <si>
    <t>Charles</t>
  </si>
  <si>
    <t>Adolf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</si>
</sst>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mmmm d, yyyy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/>
    <font>
      <b/>
      <color theme="1"/>
      <name val="&quot;Trebuchet MS&quot;"/>
    </font>
    <font>
      <color theme="1"/>
      <name val="&quot;Trebuchet MS&quot;"/>
    </font>
  </fonts>
  <fills count="19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2" fillId="0" fontId="4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2" fillId="2" fontId="6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vertical="bottom"/>
    </xf>
    <xf borderId="2" fillId="4" fontId="6" numFmtId="0" xfId="0" applyAlignment="1" applyBorder="1" applyFill="1" applyFont="1">
      <alignment horizontal="center" vertical="bottom"/>
    </xf>
    <xf borderId="1" fillId="5" fontId="7" numFmtId="0" xfId="0" applyAlignment="1" applyBorder="1" applyFill="1" applyFont="1">
      <alignment horizontal="center" vertical="bottom"/>
    </xf>
    <xf borderId="1" fillId="5" fontId="7" numFmtId="0" xfId="0" applyAlignment="1" applyBorder="1" applyFont="1">
      <alignment horizontal="center" readingOrder="0" vertical="bottom"/>
    </xf>
    <xf borderId="2" fillId="5" fontId="7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2" fillId="6" fontId="6" numFmtId="0" xfId="0" applyAlignment="1" applyBorder="1" applyFill="1" applyFont="1">
      <alignment horizontal="center" vertical="bottom"/>
    </xf>
    <xf borderId="0" fillId="7" fontId="1" numFmtId="0" xfId="0" applyAlignment="1" applyFill="1" applyFont="1">
      <alignment vertical="bottom"/>
    </xf>
    <xf borderId="1" fillId="8" fontId="7" numFmtId="0" xfId="0" applyAlignment="1" applyBorder="1" applyFill="1" applyFont="1">
      <alignment horizontal="center" vertical="bottom"/>
    </xf>
    <xf borderId="1" fillId="8" fontId="1" numFmtId="0" xfId="0" applyAlignment="1" applyBorder="1" applyFont="1">
      <alignment horizontal="center" vertical="bottom"/>
    </xf>
    <xf borderId="1" fillId="8" fontId="7" numFmtId="0" xfId="0" applyAlignment="1" applyBorder="1" applyFont="1">
      <alignment horizontal="center" readingOrder="0" vertical="bottom"/>
    </xf>
    <xf borderId="2" fillId="8" fontId="7" numFmtId="0" xfId="0" applyAlignment="1" applyBorder="1" applyFont="1">
      <alignment horizontal="center" vertical="bottom"/>
    </xf>
    <xf borderId="1" fillId="7" fontId="7" numFmtId="10" xfId="0" applyAlignment="1" applyBorder="1" applyFont="1" applyNumberFormat="1">
      <alignment horizontal="center" vertical="bottom"/>
    </xf>
    <xf borderId="1" fillId="9" fontId="3" numFmtId="164" xfId="0" applyAlignment="1" applyBorder="1" applyFill="1" applyFont="1" applyNumberFormat="1">
      <alignment readingOrder="0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1" fillId="8" fontId="7" numFmtId="10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readingOrder="0"/>
    </xf>
    <xf borderId="1" fillId="10" fontId="3" numFmtId="0" xfId="0" applyAlignment="1" applyBorder="1" applyFill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0" fillId="12" fontId="3" numFmtId="0" xfId="0" applyAlignment="1" applyFill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14" fontId="3" numFmtId="0" xfId="0" applyAlignment="1" applyBorder="1" applyFill="1" applyFont="1">
      <alignment horizontal="center" readingOrder="0"/>
    </xf>
    <xf borderId="1" fillId="13" fontId="3" numFmtId="0" xfId="0" applyAlignment="1" applyBorder="1" applyFont="1">
      <alignment readingOrder="0"/>
    </xf>
    <xf borderId="1" fillId="14" fontId="3" numFmtId="0" xfId="0" applyAlignment="1" applyBorder="1" applyFont="1">
      <alignment readingOrder="0"/>
    </xf>
    <xf borderId="0" fillId="12" fontId="3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bottom"/>
    </xf>
    <xf borderId="0" fillId="12" fontId="3" numFmtId="0" xfId="0" applyFont="1"/>
    <xf borderId="0" fillId="0" fontId="7" numFmtId="0" xfId="0" applyAlignment="1" applyFont="1">
      <alignment horizontal="center" vertical="bottom"/>
    </xf>
    <xf borderId="0" fillId="0" fontId="3" numFmtId="0" xfId="0" applyFont="1"/>
    <xf borderId="1" fillId="0" fontId="3" numFmtId="0" xfId="0" applyBorder="1" applyFont="1"/>
    <xf borderId="0" fillId="12" fontId="7" numFmtId="10" xfId="0" applyAlignment="1" applyFont="1" applyNumberFormat="1">
      <alignment horizontal="center" vertical="bottom"/>
    </xf>
    <xf borderId="0" fillId="0" fontId="3" numFmtId="0" xfId="0" applyAlignment="1" applyFont="1">
      <alignment readingOrder="0"/>
    </xf>
    <xf borderId="1" fillId="15" fontId="3" numFmtId="0" xfId="0" applyAlignment="1" applyBorder="1" applyFill="1" applyFon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16" fontId="3" numFmtId="0" xfId="0" applyAlignment="1" applyBorder="1" applyFill="1" applyFont="1">
      <alignment horizontal="center" readingOrder="0"/>
    </xf>
    <xf borderId="1" fillId="17" fontId="3" numFmtId="0" xfId="0" applyAlignment="1" applyBorder="1" applyFill="1" applyFont="1">
      <alignment horizontal="center" readingOrder="0"/>
    </xf>
    <xf borderId="1" fillId="8" fontId="3" numFmtId="0" xfId="0" applyAlignment="1" applyBorder="1" applyFont="1">
      <alignment horizontal="center" readingOrder="0"/>
    </xf>
    <xf borderId="1" fillId="18" fontId="3" numFmtId="0" xfId="0" applyAlignment="1" applyBorder="1" applyFill="1" applyFont="1">
      <alignment horizontal="center" readingOrder="0"/>
    </xf>
    <xf borderId="1" fillId="17" fontId="3" numFmtId="0" xfId="0" applyAlignment="1" applyBorder="1" applyFont="1">
      <alignment readingOrder="0"/>
    </xf>
    <xf borderId="1" fillId="8" fontId="3" numFmtId="0" xfId="0" applyAlignment="1" applyBorder="1" applyFont="1">
      <alignment readingOrder="0"/>
    </xf>
    <xf borderId="1" fillId="18" fontId="3" numFmtId="0" xfId="0" applyAlignment="1" applyBorder="1" applyFont="1">
      <alignment readingOrder="0"/>
    </xf>
    <xf borderId="2" fillId="10" fontId="3" numFmtId="0" xfId="0" applyAlignment="1" applyBorder="1" applyFont="1">
      <alignment horizontal="center" readingOrder="0"/>
    </xf>
    <xf borderId="2" fillId="11" fontId="3" numFmtId="0" xfId="0" applyAlignment="1" applyBorder="1" applyFont="1">
      <alignment horizontal="center" readingOrder="0"/>
    </xf>
    <xf borderId="1" fillId="9" fontId="3" numFmtId="0" xfId="0" applyAlignment="1" applyBorder="1" applyFont="1">
      <alignment readingOrder="0"/>
    </xf>
    <xf borderId="2" fillId="0" fontId="3" numFmtId="0" xfId="0" applyBorder="1" applyFont="1"/>
    <xf borderId="0" fillId="8" fontId="7" numFmtId="10" xfId="0" applyAlignment="1" applyFont="1" applyNumberFormat="1">
      <alignment horizontal="center" vertical="bottom"/>
    </xf>
    <xf borderId="2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1"/>
      <c r="C2" s="1"/>
      <c r="D2" s="1"/>
      <c r="E2" s="1"/>
      <c r="F2" s="1"/>
      <c r="G2" s="1"/>
      <c r="H2" s="1"/>
      <c r="I2" s="1"/>
    </row>
    <row r="3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</row>
    <row r="4">
      <c r="A4" s="2" t="s">
        <v>2</v>
      </c>
      <c r="B4" s="3" t="s">
        <v>3</v>
      </c>
      <c r="C4" s="1"/>
      <c r="D4" s="1"/>
      <c r="E4" s="1"/>
      <c r="F4" s="1"/>
      <c r="G4" s="1"/>
      <c r="H4" s="1" t="s">
        <v>4</v>
      </c>
      <c r="I4" s="1" t="s">
        <v>5</v>
      </c>
      <c r="J4" s="1"/>
    </row>
    <row r="5">
      <c r="A5" s="4"/>
      <c r="B5" s="4"/>
      <c r="C5" s="4"/>
      <c r="D5" s="1"/>
      <c r="E5" s="4"/>
      <c r="F5" s="1"/>
      <c r="G5" s="1"/>
      <c r="H5" s="1" t="s">
        <v>6</v>
      </c>
      <c r="I5" s="1" t="s">
        <v>7</v>
      </c>
      <c r="J5" s="1"/>
    </row>
    <row r="6">
      <c r="A6" s="2" t="s">
        <v>8</v>
      </c>
      <c r="B6" s="4"/>
      <c r="C6" s="4"/>
      <c r="D6" s="4"/>
      <c r="E6" s="4" t="s">
        <v>9</v>
      </c>
      <c r="F6" s="1"/>
      <c r="G6" s="1"/>
      <c r="H6" s="1"/>
      <c r="I6" s="1"/>
      <c r="J6" s="1"/>
    </row>
    <row r="7">
      <c r="A7" s="4" t="s">
        <v>10</v>
      </c>
      <c r="B7" s="5">
        <v>1.0</v>
      </c>
      <c r="C7" s="5">
        <v>1.0</v>
      </c>
      <c r="D7" s="4"/>
      <c r="E7" s="5">
        <v>12.0</v>
      </c>
      <c r="F7" s="1"/>
      <c r="G7" s="1" t="s">
        <v>11</v>
      </c>
      <c r="H7" s="1" t="s">
        <v>12</v>
      </c>
      <c r="I7" s="1"/>
      <c r="J7" s="1"/>
    </row>
    <row r="8">
      <c r="A8" s="4" t="s">
        <v>13</v>
      </c>
      <c r="B8" s="5">
        <v>5.0</v>
      </c>
      <c r="C8" s="6"/>
      <c r="D8" s="1"/>
      <c r="E8" s="1"/>
      <c r="F8" s="1"/>
      <c r="G8" s="1" t="s">
        <v>14</v>
      </c>
      <c r="H8" s="1" t="s">
        <v>15</v>
      </c>
      <c r="I8" s="1"/>
      <c r="J8" s="1"/>
    </row>
    <row r="9">
      <c r="A9" s="4"/>
      <c r="B9" s="4"/>
      <c r="C9" s="4"/>
      <c r="D9" s="1"/>
      <c r="E9" s="1"/>
      <c r="F9" s="1"/>
      <c r="G9" s="1"/>
      <c r="H9" s="1"/>
      <c r="I9" s="1"/>
      <c r="J9" s="1"/>
    </row>
    <row r="10">
      <c r="A10" s="2" t="s">
        <v>16</v>
      </c>
      <c r="B10" s="4"/>
      <c r="C10" s="4"/>
      <c r="D10" s="1"/>
      <c r="E10" s="1"/>
      <c r="F10" s="1"/>
      <c r="G10" s="1"/>
      <c r="H10" s="1"/>
      <c r="I10" s="1"/>
      <c r="J10" s="1"/>
    </row>
    <row r="11">
      <c r="A11" s="4" t="s">
        <v>17</v>
      </c>
      <c r="B11" s="5">
        <v>5.0</v>
      </c>
      <c r="C11" s="7">
        <v>5.0</v>
      </c>
      <c r="D11" s="1"/>
      <c r="E11" s="1"/>
      <c r="F11" s="1"/>
      <c r="G11" s="1"/>
      <c r="H11" s="1"/>
      <c r="I11" s="1"/>
      <c r="J11" s="1"/>
    </row>
    <row r="12">
      <c r="A12" s="4" t="s">
        <v>18</v>
      </c>
      <c r="B12" s="5">
        <v>1.0</v>
      </c>
      <c r="C12" s="7">
        <v>1.0</v>
      </c>
      <c r="D12" s="1"/>
      <c r="E12" s="1"/>
      <c r="F12" s="1"/>
      <c r="G12" s="1"/>
      <c r="H12" s="1"/>
      <c r="I12" s="1"/>
      <c r="J12" s="1"/>
    </row>
    <row r="13">
      <c r="A13" s="4" t="s">
        <v>19</v>
      </c>
      <c r="B13" s="5">
        <v>15.0</v>
      </c>
      <c r="C13" s="4"/>
      <c r="D13" s="1"/>
      <c r="E13" s="1"/>
      <c r="F13" s="1"/>
      <c r="G13" s="1"/>
      <c r="H13" s="1"/>
      <c r="I13" s="1"/>
      <c r="J13" s="1"/>
    </row>
    <row r="14">
      <c r="A14" s="6" t="s">
        <v>20</v>
      </c>
      <c r="B14" s="4"/>
      <c r="C14" s="7">
        <v>5.0</v>
      </c>
      <c r="D14" s="1"/>
      <c r="E14" s="1"/>
      <c r="F14" s="1"/>
      <c r="G14" s="1"/>
      <c r="H14" s="1"/>
      <c r="I14" s="1"/>
      <c r="J14" s="1"/>
    </row>
    <row r="15">
      <c r="A15" s="6" t="s">
        <v>21</v>
      </c>
      <c r="B15" s="4"/>
      <c r="C15" s="7">
        <v>5.0</v>
      </c>
      <c r="D15" s="1"/>
      <c r="E15" s="1"/>
      <c r="F15" s="1"/>
      <c r="G15" s="1"/>
      <c r="H15" s="1"/>
      <c r="I15" s="1"/>
      <c r="J15" s="1"/>
    </row>
    <row r="16">
      <c r="A16" s="6" t="s">
        <v>22</v>
      </c>
      <c r="B16" s="4"/>
      <c r="C16" s="7" t="s">
        <v>23</v>
      </c>
      <c r="D16" s="1"/>
      <c r="E16" s="1"/>
      <c r="F16" s="1"/>
      <c r="G16" s="1"/>
      <c r="H16" s="1"/>
      <c r="I16" s="1"/>
      <c r="J16" s="1"/>
    </row>
    <row r="17">
      <c r="A17" s="4" t="s">
        <v>24</v>
      </c>
      <c r="B17" s="4" t="s">
        <v>25</v>
      </c>
      <c r="C17" s="7" t="s">
        <v>23</v>
      </c>
      <c r="D17" s="1"/>
      <c r="E17" s="1"/>
      <c r="F17" s="1"/>
      <c r="G17" s="1"/>
      <c r="H17" s="1"/>
      <c r="I17" s="1"/>
      <c r="J17" s="1"/>
    </row>
    <row r="18">
      <c r="A18" s="6" t="s">
        <v>26</v>
      </c>
      <c r="B18" s="5">
        <v>1.0</v>
      </c>
      <c r="C18" s="4"/>
      <c r="D18" s="1"/>
      <c r="E18" s="1"/>
      <c r="F18" s="1"/>
      <c r="G18" s="1"/>
      <c r="H18" s="1"/>
      <c r="I18" s="1"/>
      <c r="J18" s="1"/>
    </row>
    <row r="19">
      <c r="A19" s="6" t="s">
        <v>27</v>
      </c>
      <c r="B19" s="4"/>
      <c r="C19" s="7">
        <v>1.0</v>
      </c>
      <c r="D19" s="1"/>
      <c r="E19" s="1"/>
      <c r="F19" s="1"/>
      <c r="G19" s="1"/>
      <c r="H19" s="1"/>
      <c r="I19" s="1"/>
      <c r="J19" s="1"/>
    </row>
    <row r="20">
      <c r="A20" s="6" t="s">
        <v>28</v>
      </c>
      <c r="B20" s="4"/>
      <c r="C20" s="6" t="s">
        <v>29</v>
      </c>
      <c r="D20" s="1"/>
      <c r="E20" s="1"/>
      <c r="F20" s="1"/>
      <c r="G20" s="1"/>
      <c r="H20" s="1"/>
      <c r="I20" s="1"/>
      <c r="J20" s="8" t="s">
        <v>30</v>
      </c>
    </row>
    <row r="21">
      <c r="A21" s="6" t="s">
        <v>31</v>
      </c>
      <c r="B21" s="4"/>
      <c r="C21" s="6" t="s">
        <v>29</v>
      </c>
      <c r="D21" s="1"/>
      <c r="E21" s="1"/>
      <c r="F21" s="1"/>
      <c r="G21" s="1"/>
      <c r="H21" s="1"/>
      <c r="I21" s="1"/>
      <c r="J21" s="1" t="s">
        <v>32</v>
      </c>
    </row>
    <row r="22">
      <c r="A22" s="4"/>
      <c r="B22" s="4"/>
      <c r="C22" s="4"/>
      <c r="D22" s="1"/>
      <c r="E22" s="1"/>
      <c r="F22" s="1"/>
      <c r="G22" s="1"/>
      <c r="H22" s="1"/>
      <c r="I22" s="1"/>
      <c r="J22" s="1"/>
    </row>
    <row r="23">
      <c r="A23" s="2" t="s">
        <v>33</v>
      </c>
      <c r="B23" s="4"/>
      <c r="C23" s="4"/>
      <c r="D23" s="1"/>
      <c r="E23" s="1"/>
      <c r="F23" s="1"/>
      <c r="G23" s="1"/>
      <c r="H23" s="1"/>
      <c r="I23" s="1"/>
      <c r="J23" s="1"/>
    </row>
    <row r="24">
      <c r="A24" s="4" t="s">
        <v>34</v>
      </c>
      <c r="B24" s="5">
        <v>1.0</v>
      </c>
      <c r="C24" s="5">
        <v>1.0</v>
      </c>
      <c r="D24" s="1"/>
      <c r="E24" s="1"/>
      <c r="F24" s="1"/>
      <c r="G24" s="1"/>
      <c r="H24" s="1"/>
      <c r="I24" s="1"/>
      <c r="J24" s="8" t="s">
        <v>35</v>
      </c>
    </row>
    <row r="25">
      <c r="A25" s="4" t="s">
        <v>36</v>
      </c>
      <c r="B25" s="5">
        <v>2.0</v>
      </c>
      <c r="C25" s="5">
        <v>2.0</v>
      </c>
      <c r="D25" s="1"/>
      <c r="E25" s="1"/>
      <c r="F25" s="1"/>
      <c r="G25" s="1"/>
      <c r="H25" s="1"/>
      <c r="I25" s="1"/>
      <c r="J25" s="1" t="s">
        <v>37</v>
      </c>
    </row>
    <row r="26">
      <c r="A26" s="4" t="s">
        <v>38</v>
      </c>
      <c r="B26" s="5">
        <v>2.0</v>
      </c>
      <c r="C26" s="5">
        <v>2.0</v>
      </c>
      <c r="D26" s="1"/>
      <c r="E26" s="1"/>
      <c r="F26" s="1"/>
      <c r="G26" s="1"/>
      <c r="H26" s="1"/>
      <c r="I26" s="1"/>
      <c r="J26" s="1"/>
    </row>
    <row r="27">
      <c r="A27" s="4"/>
      <c r="B27" s="4"/>
      <c r="C27" s="4"/>
      <c r="D27" s="1"/>
      <c r="E27" s="1"/>
      <c r="F27" s="1"/>
      <c r="G27" s="1"/>
      <c r="H27" s="1"/>
      <c r="I27" s="1"/>
      <c r="J27" s="1"/>
    </row>
    <row r="28">
      <c r="A28" s="2" t="s">
        <v>39</v>
      </c>
      <c r="B28" s="4"/>
      <c r="C28" s="4"/>
      <c r="D28" s="1"/>
      <c r="E28" s="1"/>
      <c r="F28" s="1"/>
      <c r="G28" s="1"/>
      <c r="H28" s="1"/>
      <c r="I28" s="1"/>
      <c r="J28" s="8" t="s">
        <v>40</v>
      </c>
    </row>
    <row r="29">
      <c r="A29" s="4" t="s">
        <v>30</v>
      </c>
      <c r="B29" s="4"/>
      <c r="C29" s="5">
        <v>1.0</v>
      </c>
      <c r="D29" s="1"/>
      <c r="E29" s="1"/>
      <c r="F29" s="1"/>
      <c r="G29" s="1"/>
      <c r="H29" s="1"/>
      <c r="I29" s="1"/>
      <c r="J29" s="1" t="s">
        <v>41</v>
      </c>
    </row>
    <row r="30">
      <c r="A30" s="9" t="s">
        <v>42</v>
      </c>
      <c r="B30" s="4"/>
      <c r="C30" s="5">
        <v>4.0</v>
      </c>
      <c r="D30" s="1"/>
      <c r="E30" s="1"/>
      <c r="F30" s="1"/>
      <c r="G30" s="1"/>
      <c r="H30" s="1"/>
      <c r="I30" s="1"/>
      <c r="J30" s="1"/>
    </row>
    <row r="31">
      <c r="A31" s="4" t="s">
        <v>43</v>
      </c>
      <c r="B31" s="4"/>
      <c r="C31" s="5">
        <v>10.0</v>
      </c>
      <c r="D31" s="1"/>
      <c r="E31" s="1"/>
      <c r="F31" s="1"/>
      <c r="G31" s="1"/>
      <c r="H31" s="1"/>
      <c r="I31" s="1"/>
      <c r="J3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6" max="6" width="25.88"/>
    <col customWidth="1" min="8" max="8" width="13.75"/>
    <col customWidth="1" min="12" max="12" width="26.0"/>
  </cols>
  <sheetData>
    <row r="1">
      <c r="A1" s="10" t="s">
        <v>44</v>
      </c>
      <c r="B1" s="10"/>
    </row>
    <row r="2">
      <c r="B2" s="10"/>
    </row>
    <row r="3">
      <c r="C3" s="11" t="s">
        <v>45</v>
      </c>
      <c r="D3" s="12"/>
      <c r="E3" s="13"/>
    </row>
    <row r="6">
      <c r="A6" s="14"/>
      <c r="B6" s="12"/>
      <c r="C6" s="12"/>
      <c r="D6" s="12"/>
      <c r="E6" s="12"/>
      <c r="F6" s="13"/>
      <c r="G6" s="1"/>
      <c r="H6" s="1"/>
    </row>
    <row r="7">
      <c r="A7" s="15"/>
      <c r="B7" s="16" t="s">
        <v>46</v>
      </c>
      <c r="C7" s="12"/>
      <c r="D7" s="12"/>
      <c r="E7" s="12"/>
      <c r="F7" s="13"/>
      <c r="G7" s="1"/>
      <c r="H7" s="1"/>
    </row>
    <row r="8">
      <c r="B8" s="17" t="s">
        <v>47</v>
      </c>
      <c r="C8" s="17" t="s">
        <v>48</v>
      </c>
      <c r="D8" s="17" t="s">
        <v>49</v>
      </c>
      <c r="E8" s="17" t="s">
        <v>50</v>
      </c>
      <c r="F8" s="17" t="s">
        <v>51</v>
      </c>
      <c r="G8" s="16" t="s">
        <v>52</v>
      </c>
      <c r="H8" s="13"/>
    </row>
    <row r="9">
      <c r="B9" s="18">
        <v>0.0</v>
      </c>
      <c r="C9" s="18">
        <v>0.0</v>
      </c>
      <c r="D9" s="18">
        <v>0.0</v>
      </c>
      <c r="E9" s="18">
        <v>0.0</v>
      </c>
      <c r="F9" s="18">
        <v>0.0</v>
      </c>
      <c r="G9" s="19">
        <f>sum(B9:F9)</f>
        <v>0</v>
      </c>
      <c r="H9" s="13"/>
    </row>
    <row r="10">
      <c r="A10" s="20" t="s">
        <v>53</v>
      </c>
      <c r="B10" s="21" t="s">
        <v>54</v>
      </c>
      <c r="C10" s="12"/>
      <c r="D10" s="12"/>
      <c r="E10" s="12"/>
      <c r="F10" s="13"/>
      <c r="G10" s="22"/>
      <c r="H10" s="22"/>
    </row>
    <row r="11">
      <c r="A11" s="15"/>
      <c r="B11" s="23" t="s">
        <v>55</v>
      </c>
      <c r="C11" s="23" t="s">
        <v>48</v>
      </c>
      <c r="D11" s="23" t="s">
        <v>49</v>
      </c>
      <c r="E11" s="24" t="s">
        <v>50</v>
      </c>
      <c r="F11" s="24" t="s">
        <v>51</v>
      </c>
      <c r="G11" s="21" t="s">
        <v>56</v>
      </c>
      <c r="H11" s="13"/>
    </row>
    <row r="12">
      <c r="B12" s="25">
        <f>H24</f>
        <v>0</v>
      </c>
      <c r="C12" s="25">
        <f>H34</f>
        <v>0</v>
      </c>
      <c r="D12" s="25">
        <f>H43</f>
        <v>0</v>
      </c>
      <c r="E12" s="25">
        <f>H53</f>
        <v>0</v>
      </c>
      <c r="F12" s="25">
        <f>H62</f>
        <v>0</v>
      </c>
      <c r="G12" s="26">
        <f>sum(B12:F12)</f>
        <v>0</v>
      </c>
      <c r="H12" s="13"/>
    </row>
    <row r="13">
      <c r="B13" s="27">
        <f t="shared" ref="B13:F13" si="1">B12/12</f>
        <v>0</v>
      </c>
      <c r="C13" s="27">
        <f t="shared" si="1"/>
        <v>0</v>
      </c>
      <c r="D13" s="27">
        <f t="shared" si="1"/>
        <v>0</v>
      </c>
      <c r="E13" s="27">
        <f t="shared" si="1"/>
        <v>0</v>
      </c>
      <c r="F13" s="27">
        <f t="shared" si="1"/>
        <v>0</v>
      </c>
      <c r="G13" s="22"/>
      <c r="H13" s="22"/>
      <c r="L13" s="28">
        <v>46174.0</v>
      </c>
    </row>
    <row r="14">
      <c r="A14" s="29" t="s">
        <v>57</v>
      </c>
      <c r="B14" s="29" t="s">
        <v>58</v>
      </c>
      <c r="C14" s="22"/>
      <c r="D14" s="22"/>
      <c r="E14" s="22"/>
      <c r="F14" s="22"/>
      <c r="G14" s="22"/>
      <c r="L14" s="28">
        <v>46175.0</v>
      </c>
    </row>
    <row r="15">
      <c r="A15" s="30">
        <v>60.0</v>
      </c>
      <c r="B15" s="31">
        <f>A18/A15</f>
        <v>0</v>
      </c>
      <c r="C15" s="1"/>
      <c r="D15" s="1"/>
      <c r="E15" s="1"/>
      <c r="F15" s="1"/>
      <c r="G15" s="22"/>
      <c r="L15" s="28">
        <v>46176.0</v>
      </c>
    </row>
    <row r="16">
      <c r="L16" s="28">
        <v>46177.0</v>
      </c>
    </row>
    <row r="17">
      <c r="A17" s="32" t="s">
        <v>59</v>
      </c>
      <c r="L17" s="28">
        <v>46178.0</v>
      </c>
    </row>
    <row r="18">
      <c r="A18" s="32">
        <f>G12</f>
        <v>0</v>
      </c>
    </row>
    <row r="20">
      <c r="B20" s="33" t="s">
        <v>60</v>
      </c>
      <c r="C20" s="34" t="s">
        <v>10</v>
      </c>
      <c r="D20" s="35"/>
      <c r="E20" s="35"/>
    </row>
    <row r="21">
      <c r="B21" s="36" t="s">
        <v>61</v>
      </c>
      <c r="C21" s="37" t="s">
        <v>61</v>
      </c>
      <c r="D21" s="35"/>
      <c r="E21" s="35"/>
    </row>
    <row r="22">
      <c r="A22" s="28">
        <f>L13</f>
        <v>46174</v>
      </c>
      <c r="B22" s="38">
        <v>0.0</v>
      </c>
      <c r="C22" s="39">
        <v>0.0</v>
      </c>
      <c r="D22" s="40"/>
      <c r="E22" s="40"/>
    </row>
    <row r="23">
      <c r="A23" s="32" t="s">
        <v>62</v>
      </c>
      <c r="B23" s="32">
        <v>5.0</v>
      </c>
      <c r="C23" s="32">
        <v>1.0</v>
      </c>
      <c r="D23" s="40"/>
      <c r="E23" s="40"/>
      <c r="H23" s="41" t="s">
        <v>63</v>
      </c>
      <c r="I23" s="32" t="s">
        <v>64</v>
      </c>
    </row>
    <row r="24">
      <c r="A24" s="32" t="s">
        <v>65</v>
      </c>
      <c r="B24" s="32">
        <f t="shared" ref="B24:C24" si="2">B22*B23</f>
        <v>0</v>
      </c>
      <c r="C24" s="32">
        <f t="shared" si="2"/>
        <v>0</v>
      </c>
      <c r="D24" s="42"/>
      <c r="E24" s="42"/>
      <c r="F24" s="42"/>
      <c r="G24" s="43"/>
      <c r="H24" s="29">
        <f>B25+C25+D25+E25+F25+G25</f>
        <v>0</v>
      </c>
      <c r="I24" s="32">
        <f>sum(B25,C25,D25,E25,F25)</f>
        <v>0</v>
      </c>
      <c r="K24" s="44">
        <f>B22+C22+D22+E22+F22+G22</f>
        <v>0</v>
      </c>
    </row>
    <row r="25">
      <c r="A25" s="32" t="s">
        <v>66</v>
      </c>
      <c r="B25" s="45">
        <f t="shared" ref="B25:C25" si="3">B24</f>
        <v>0</v>
      </c>
      <c r="C25" s="45">
        <f t="shared" si="3"/>
        <v>0</v>
      </c>
      <c r="D25" s="42"/>
      <c r="E25" s="42"/>
      <c r="F25" s="42"/>
      <c r="G25" s="43"/>
      <c r="H25" s="46"/>
    </row>
    <row r="30">
      <c r="B30" s="33" t="s">
        <v>60</v>
      </c>
      <c r="C30" s="34" t="s">
        <v>10</v>
      </c>
      <c r="D30" s="35"/>
      <c r="E30" s="35"/>
      <c r="F30" s="35"/>
    </row>
    <row r="31">
      <c r="B31" s="36" t="s">
        <v>61</v>
      </c>
      <c r="C31" s="37" t="s">
        <v>61</v>
      </c>
      <c r="D31" s="35"/>
      <c r="E31" s="35"/>
      <c r="F31" s="35"/>
    </row>
    <row r="32">
      <c r="A32" s="28">
        <f>L14</f>
        <v>46175</v>
      </c>
      <c r="B32" s="38">
        <v>0.0</v>
      </c>
      <c r="C32" s="39">
        <v>0.0</v>
      </c>
      <c r="D32" s="40"/>
      <c r="E32" s="40"/>
      <c r="F32" s="40"/>
    </row>
    <row r="33">
      <c r="A33" s="32" t="s">
        <v>62</v>
      </c>
      <c r="B33" s="32">
        <v>5.0</v>
      </c>
      <c r="C33" s="32">
        <v>1.0</v>
      </c>
      <c r="D33" s="40"/>
      <c r="E33" s="40"/>
      <c r="F33" s="40"/>
      <c r="H33" s="41" t="s">
        <v>63</v>
      </c>
      <c r="I33" s="32" t="s">
        <v>64</v>
      </c>
    </row>
    <row r="34">
      <c r="A34" s="32" t="s">
        <v>65</v>
      </c>
      <c r="B34" s="32">
        <f t="shared" ref="B34:C34" si="4">B32*B33</f>
        <v>0</v>
      </c>
      <c r="C34" s="32">
        <f t="shared" si="4"/>
        <v>0</v>
      </c>
      <c r="D34" s="42"/>
      <c r="E34" s="42"/>
      <c r="F34" s="42"/>
      <c r="G34" s="43"/>
      <c r="H34" s="29">
        <f>B35+C35+D35+E35+F35+G35</f>
        <v>0</v>
      </c>
      <c r="I34" s="32">
        <f>sum(B35,C35,D35,E35,F35)</f>
        <v>0</v>
      </c>
      <c r="K34" s="44">
        <f>B32+C32+D32+E32+F32+G32</f>
        <v>0</v>
      </c>
    </row>
    <row r="35">
      <c r="A35" s="32" t="s">
        <v>66</v>
      </c>
      <c r="B35" s="45">
        <f t="shared" ref="B35:C35" si="5">B34</f>
        <v>0</v>
      </c>
      <c r="C35" s="45">
        <f t="shared" si="5"/>
        <v>0</v>
      </c>
      <c r="D35" s="42"/>
      <c r="E35" s="42"/>
      <c r="F35" s="42"/>
      <c r="G35" s="43"/>
      <c r="H35" s="46"/>
    </row>
    <row r="39">
      <c r="B39" s="33" t="s">
        <v>60</v>
      </c>
      <c r="C39" s="34" t="s">
        <v>10</v>
      </c>
      <c r="D39" s="35"/>
      <c r="E39" s="35"/>
      <c r="F39" s="35"/>
    </row>
    <row r="40">
      <c r="B40" s="36" t="s">
        <v>61</v>
      </c>
      <c r="C40" s="37" t="s">
        <v>61</v>
      </c>
      <c r="D40" s="35"/>
      <c r="E40" s="35"/>
      <c r="F40" s="35"/>
    </row>
    <row r="41">
      <c r="A41" s="28">
        <f>L15</f>
        <v>46176</v>
      </c>
      <c r="B41" s="38">
        <v>0.0</v>
      </c>
      <c r="C41" s="39">
        <v>0.0</v>
      </c>
      <c r="D41" s="40"/>
      <c r="E41" s="40"/>
      <c r="F41" s="40"/>
    </row>
    <row r="42">
      <c r="A42" s="32" t="s">
        <v>62</v>
      </c>
      <c r="B42" s="32">
        <v>5.0</v>
      </c>
      <c r="C42" s="32">
        <v>1.0</v>
      </c>
      <c r="D42" s="40"/>
      <c r="E42" s="40"/>
      <c r="F42" s="40"/>
      <c r="H42" s="41" t="s">
        <v>63</v>
      </c>
      <c r="I42" s="32" t="s">
        <v>64</v>
      </c>
    </row>
    <row r="43">
      <c r="A43" s="32" t="s">
        <v>65</v>
      </c>
      <c r="B43" s="32">
        <f t="shared" ref="B43:C43" si="6">B41*B42</f>
        <v>0</v>
      </c>
      <c r="C43" s="32">
        <f t="shared" si="6"/>
        <v>0</v>
      </c>
      <c r="D43" s="42"/>
      <c r="E43" s="42"/>
      <c r="F43" s="42"/>
      <c r="G43" s="43"/>
      <c r="H43" s="29">
        <f>B44+C44+D44+E44+F44+G44</f>
        <v>0</v>
      </c>
      <c r="I43" s="32">
        <f>sum(B44,C44,D44,E44,F44)</f>
        <v>0</v>
      </c>
      <c r="K43" s="44">
        <f>B41+C41+D41+E41+F41+G41</f>
        <v>0</v>
      </c>
    </row>
    <row r="44">
      <c r="A44" s="32" t="s">
        <v>66</v>
      </c>
      <c r="B44" s="45">
        <f t="shared" ref="B44:C44" si="7">B43</f>
        <v>0</v>
      </c>
      <c r="C44" s="45">
        <f t="shared" si="7"/>
        <v>0</v>
      </c>
      <c r="D44" s="42"/>
      <c r="E44" s="42"/>
      <c r="F44" s="42"/>
      <c r="G44" s="43"/>
      <c r="H44" s="46"/>
    </row>
    <row r="49">
      <c r="B49" s="33" t="s">
        <v>60</v>
      </c>
      <c r="C49" s="34" t="s">
        <v>10</v>
      </c>
      <c r="D49" s="35"/>
      <c r="E49" s="35"/>
      <c r="F49" s="35"/>
    </row>
    <row r="50">
      <c r="B50" s="36" t="s">
        <v>61</v>
      </c>
      <c r="C50" s="37" t="s">
        <v>61</v>
      </c>
      <c r="D50" s="35"/>
      <c r="E50" s="35"/>
      <c r="F50" s="35"/>
    </row>
    <row r="51">
      <c r="A51" s="28">
        <f>L16</f>
        <v>46177</v>
      </c>
      <c r="B51" s="38">
        <v>0.0</v>
      </c>
      <c r="C51" s="39">
        <v>0.0</v>
      </c>
      <c r="D51" s="40"/>
      <c r="E51" s="40"/>
      <c r="F51" s="40"/>
    </row>
    <row r="52">
      <c r="A52" s="32" t="s">
        <v>62</v>
      </c>
      <c r="B52" s="32">
        <v>5.0</v>
      </c>
      <c r="C52" s="32">
        <v>1.0</v>
      </c>
      <c r="D52" s="40"/>
      <c r="E52" s="40"/>
      <c r="F52" s="40"/>
      <c r="H52" s="41" t="s">
        <v>63</v>
      </c>
      <c r="I52" s="32" t="s">
        <v>64</v>
      </c>
    </row>
    <row r="53">
      <c r="A53" s="32" t="s">
        <v>65</v>
      </c>
      <c r="B53" s="32">
        <f t="shared" ref="B53:C53" si="8">B51*B52</f>
        <v>0</v>
      </c>
      <c r="C53" s="32">
        <f t="shared" si="8"/>
        <v>0</v>
      </c>
      <c r="D53" s="42"/>
      <c r="E53" s="42"/>
      <c r="F53" s="42"/>
      <c r="G53" s="43"/>
      <c r="H53" s="29">
        <f>B54+C54+D54+E54+F54+G54</f>
        <v>0</v>
      </c>
      <c r="I53" s="32">
        <f>sum(B54,C54,D54,E54,F54)</f>
        <v>0</v>
      </c>
      <c r="K53" s="44">
        <f>B51+C51+D51+E51+F51+G51</f>
        <v>0</v>
      </c>
    </row>
    <row r="54">
      <c r="A54" s="32" t="s">
        <v>66</v>
      </c>
      <c r="B54" s="45">
        <f t="shared" ref="B54:C54" si="9">B53</f>
        <v>0</v>
      </c>
      <c r="C54" s="45">
        <f t="shared" si="9"/>
        <v>0</v>
      </c>
      <c r="D54" s="42"/>
      <c r="E54" s="42"/>
      <c r="F54" s="42"/>
      <c r="G54" s="43"/>
      <c r="H54" s="46"/>
    </row>
    <row r="58">
      <c r="B58" s="33" t="s">
        <v>60</v>
      </c>
      <c r="C58" s="34" t="s">
        <v>10</v>
      </c>
      <c r="D58" s="35"/>
      <c r="E58" s="35"/>
      <c r="F58" s="35"/>
    </row>
    <row r="59">
      <c r="B59" s="36" t="s">
        <v>61</v>
      </c>
      <c r="C59" s="37" t="s">
        <v>61</v>
      </c>
      <c r="D59" s="35"/>
      <c r="E59" s="35"/>
      <c r="F59" s="35"/>
    </row>
    <row r="60">
      <c r="A60" s="28">
        <f>L17</f>
        <v>46178</v>
      </c>
      <c r="B60" s="38">
        <v>0.0</v>
      </c>
      <c r="C60" s="39">
        <v>0.0</v>
      </c>
      <c r="D60" s="40"/>
      <c r="E60" s="40"/>
      <c r="F60" s="40"/>
    </row>
    <row r="61">
      <c r="A61" s="32" t="s">
        <v>62</v>
      </c>
      <c r="B61" s="32">
        <v>5.0</v>
      </c>
      <c r="C61" s="32">
        <v>1.0</v>
      </c>
      <c r="D61" s="40"/>
      <c r="E61" s="40"/>
      <c r="F61" s="40"/>
      <c r="H61" s="41" t="s">
        <v>63</v>
      </c>
      <c r="I61" s="32" t="s">
        <v>64</v>
      </c>
    </row>
    <row r="62">
      <c r="A62" s="32" t="s">
        <v>65</v>
      </c>
      <c r="B62" s="32">
        <f t="shared" ref="B62:C62" si="10">B60*B61</f>
        <v>0</v>
      </c>
      <c r="C62" s="32">
        <f t="shared" si="10"/>
        <v>0</v>
      </c>
      <c r="D62" s="42"/>
      <c r="E62" s="42"/>
      <c r="F62" s="42"/>
      <c r="G62" s="43"/>
      <c r="H62" s="29">
        <f>B63+C63+D63+E63+F63+G63</f>
        <v>0</v>
      </c>
      <c r="I62" s="32">
        <f>sum(B63,C63,D63,E63,F63)</f>
        <v>0</v>
      </c>
      <c r="K62" s="44">
        <f>B60+C60+D60+E60+F60+G60</f>
        <v>0</v>
      </c>
    </row>
    <row r="63">
      <c r="A63" s="32" t="s">
        <v>66</v>
      </c>
      <c r="B63" s="45">
        <f t="shared" ref="B63:C63" si="11">B62</f>
        <v>0</v>
      </c>
      <c r="C63" s="45">
        <f t="shared" si="11"/>
        <v>0</v>
      </c>
      <c r="D63" s="42"/>
      <c r="E63" s="42"/>
      <c r="F63" s="42"/>
      <c r="G63" s="43"/>
      <c r="H63" s="46"/>
    </row>
    <row r="65">
      <c r="K65" s="44">
        <f>SUM(K24:K62)</f>
        <v>0</v>
      </c>
    </row>
  </sheetData>
  <mergeCells count="10">
    <mergeCell ref="G9:H9"/>
    <mergeCell ref="G11:H11"/>
    <mergeCell ref="C3:E3"/>
    <mergeCell ref="A6:F6"/>
    <mergeCell ref="A7:A9"/>
    <mergeCell ref="B7:F7"/>
    <mergeCell ref="G8:H8"/>
    <mergeCell ref="B10:F10"/>
    <mergeCell ref="A11:A13"/>
    <mergeCell ref="G12:H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4" max="4" width="18.5"/>
    <col customWidth="1" min="5" max="5" width="16.5"/>
    <col customWidth="1" min="6" max="6" width="22.75"/>
    <col customWidth="1" min="8" max="8" width="13.75"/>
    <col customWidth="1" min="12" max="12" width="29.38"/>
  </cols>
  <sheetData>
    <row r="1">
      <c r="A1" s="47" t="s">
        <v>67</v>
      </c>
      <c r="B1" s="10"/>
    </row>
    <row r="2">
      <c r="B2" s="10"/>
    </row>
    <row r="3">
      <c r="C3" s="11" t="s">
        <v>45</v>
      </c>
      <c r="D3" s="12"/>
      <c r="E3" s="13"/>
    </row>
    <row r="6">
      <c r="A6" s="14"/>
      <c r="B6" s="12"/>
      <c r="C6" s="12"/>
      <c r="D6" s="12"/>
      <c r="E6" s="12"/>
      <c r="F6" s="13"/>
      <c r="G6" s="1"/>
      <c r="H6" s="1"/>
    </row>
    <row r="7">
      <c r="A7" s="15"/>
      <c r="B7" s="16" t="s">
        <v>46</v>
      </c>
      <c r="C7" s="12"/>
      <c r="D7" s="12"/>
      <c r="E7" s="12"/>
      <c r="F7" s="13"/>
      <c r="G7" s="1"/>
      <c r="H7" s="1"/>
    </row>
    <row r="8">
      <c r="B8" s="17" t="s">
        <v>47</v>
      </c>
      <c r="C8" s="17" t="s">
        <v>48</v>
      </c>
      <c r="D8" s="17" t="s">
        <v>49</v>
      </c>
      <c r="E8" s="17" t="s">
        <v>50</v>
      </c>
      <c r="F8" s="17" t="s">
        <v>51</v>
      </c>
      <c r="G8" s="16" t="s">
        <v>52</v>
      </c>
      <c r="H8" s="13"/>
      <c r="L8" s="28">
        <v>46174.0</v>
      </c>
    </row>
    <row r="9">
      <c r="B9" s="18">
        <v>0.0</v>
      </c>
      <c r="C9" s="18">
        <v>0.0</v>
      </c>
      <c r="D9" s="18">
        <v>0.0</v>
      </c>
      <c r="E9" s="18">
        <v>0.0</v>
      </c>
      <c r="F9" s="18">
        <v>0.0</v>
      </c>
      <c r="G9" s="19">
        <f>sum(B9:F9)</f>
        <v>0</v>
      </c>
      <c r="H9" s="13"/>
      <c r="L9" s="28">
        <v>46175.0</v>
      </c>
    </row>
    <row r="10">
      <c r="A10" s="20" t="s">
        <v>68</v>
      </c>
      <c r="B10" s="21" t="s">
        <v>54</v>
      </c>
      <c r="C10" s="12"/>
      <c r="D10" s="12"/>
      <c r="E10" s="12"/>
      <c r="F10" s="13"/>
      <c r="G10" s="22"/>
      <c r="H10" s="22"/>
      <c r="L10" s="28">
        <v>46176.0</v>
      </c>
    </row>
    <row r="11">
      <c r="A11" s="15"/>
      <c r="B11" s="23" t="s">
        <v>55</v>
      </c>
      <c r="C11" s="23" t="s">
        <v>48</v>
      </c>
      <c r="D11" s="23" t="s">
        <v>49</v>
      </c>
      <c r="E11" s="24" t="s">
        <v>50</v>
      </c>
      <c r="F11" s="24" t="s">
        <v>51</v>
      </c>
      <c r="G11" s="21" t="s">
        <v>56</v>
      </c>
      <c r="H11" s="13"/>
      <c r="L11" s="28">
        <v>46177.0</v>
      </c>
    </row>
    <row r="12">
      <c r="B12" s="25">
        <f>H25</f>
        <v>0</v>
      </c>
      <c r="C12" s="25">
        <f>H35</f>
        <v>0</v>
      </c>
      <c r="D12" s="25">
        <f>H44</f>
        <v>0</v>
      </c>
      <c r="E12" s="25">
        <f>H54</f>
        <v>0</v>
      </c>
      <c r="F12" s="25">
        <f>H63</f>
        <v>0</v>
      </c>
      <c r="G12" s="26">
        <f>sum(B12:F12)</f>
        <v>0</v>
      </c>
      <c r="H12" s="13"/>
      <c r="L12" s="28">
        <v>46178.0</v>
      </c>
    </row>
    <row r="13">
      <c r="B13" s="27">
        <f t="shared" ref="B13:F13" si="1">B12/12</f>
        <v>0</v>
      </c>
      <c r="C13" s="27">
        <f t="shared" si="1"/>
        <v>0</v>
      </c>
      <c r="D13" s="27">
        <f t="shared" si="1"/>
        <v>0</v>
      </c>
      <c r="E13" s="27">
        <f t="shared" si="1"/>
        <v>0</v>
      </c>
      <c r="F13" s="27">
        <f t="shared" si="1"/>
        <v>0</v>
      </c>
      <c r="G13" s="22"/>
      <c r="H13" s="22"/>
    </row>
    <row r="14">
      <c r="A14" s="29" t="s">
        <v>57</v>
      </c>
      <c r="B14" s="29" t="s">
        <v>58</v>
      </c>
      <c r="C14" s="22"/>
      <c r="D14" s="22"/>
      <c r="E14" s="22"/>
      <c r="F14" s="22"/>
      <c r="G14" s="22"/>
    </row>
    <row r="15">
      <c r="A15" s="30">
        <v>60.0</v>
      </c>
      <c r="B15" s="31">
        <f>A18/A15</f>
        <v>0</v>
      </c>
      <c r="C15" s="1"/>
      <c r="D15" s="1"/>
      <c r="E15" s="1"/>
      <c r="F15" s="1"/>
      <c r="G15" s="22"/>
    </row>
    <row r="17">
      <c r="A17" s="32" t="s">
        <v>59</v>
      </c>
    </row>
    <row r="18">
      <c r="A18" s="32">
        <f>sum(I25,I35,I44,I54,I63)</f>
        <v>0</v>
      </c>
    </row>
    <row r="21">
      <c r="B21" s="33" t="s">
        <v>69</v>
      </c>
      <c r="C21" s="34" t="s">
        <v>10</v>
      </c>
      <c r="D21" s="48" t="s">
        <v>70</v>
      </c>
      <c r="E21" s="49" t="s">
        <v>35</v>
      </c>
      <c r="F21" s="50" t="s">
        <v>43</v>
      </c>
    </row>
    <row r="22">
      <c r="B22" s="36" t="s">
        <v>61</v>
      </c>
      <c r="C22" s="37" t="s">
        <v>61</v>
      </c>
      <c r="D22" s="51" t="s">
        <v>61</v>
      </c>
      <c r="E22" s="52" t="s">
        <v>61</v>
      </c>
      <c r="F22" s="53" t="s">
        <v>61</v>
      </c>
    </row>
    <row r="23">
      <c r="A23" s="28">
        <f>L8</f>
        <v>46174</v>
      </c>
      <c r="B23" s="38">
        <v>0.0</v>
      </c>
      <c r="C23" s="39">
        <v>0.0</v>
      </c>
      <c r="D23" s="54">
        <v>0.0</v>
      </c>
      <c r="E23" s="55">
        <v>0.0</v>
      </c>
      <c r="F23" s="56">
        <v>0.0</v>
      </c>
    </row>
    <row r="24">
      <c r="A24" s="32" t="s">
        <v>62</v>
      </c>
      <c r="B24" s="32">
        <v>4.0</v>
      </c>
      <c r="C24" s="32">
        <v>1.0</v>
      </c>
      <c r="D24" s="32">
        <v>1.0</v>
      </c>
      <c r="E24" s="32">
        <v>4.0</v>
      </c>
      <c r="F24" s="32">
        <v>10.0</v>
      </c>
      <c r="H24" s="41" t="s">
        <v>63</v>
      </c>
      <c r="I24" s="32" t="s">
        <v>64</v>
      </c>
    </row>
    <row r="25">
      <c r="A25" s="32" t="s">
        <v>65</v>
      </c>
      <c r="B25" s="32">
        <f t="shared" ref="B25:F25" si="2">B23*B24</f>
        <v>0</v>
      </c>
      <c r="C25" s="32">
        <f t="shared" si="2"/>
        <v>0</v>
      </c>
      <c r="D25" s="32">
        <f t="shared" si="2"/>
        <v>0</v>
      </c>
      <c r="E25" s="32">
        <f t="shared" si="2"/>
        <v>0</v>
      </c>
      <c r="F25" s="32">
        <f t="shared" si="2"/>
        <v>0</v>
      </c>
      <c r="G25" s="43"/>
      <c r="H25" s="29">
        <f>B26+C26+D26+E26+F26</f>
        <v>0</v>
      </c>
      <c r="I25" s="32">
        <f>sum(B26,C26,D26,E26,F26)</f>
        <v>0</v>
      </c>
    </row>
    <row r="26">
      <c r="A26" s="32" t="s">
        <v>66</v>
      </c>
      <c r="B26" s="45">
        <f t="shared" ref="B26:F26" si="3">B25</f>
        <v>0</v>
      </c>
      <c r="C26" s="45">
        <f t="shared" si="3"/>
        <v>0</v>
      </c>
      <c r="D26" s="45">
        <f t="shared" si="3"/>
        <v>0</v>
      </c>
      <c r="E26" s="45">
        <f t="shared" si="3"/>
        <v>0</v>
      </c>
      <c r="F26" s="45">
        <f t="shared" si="3"/>
        <v>0</v>
      </c>
      <c r="G26" s="43"/>
      <c r="H26" s="46"/>
    </row>
    <row r="31">
      <c r="B31" s="33" t="s">
        <v>60</v>
      </c>
      <c r="C31" s="34" t="s">
        <v>10</v>
      </c>
      <c r="D31" s="48" t="s">
        <v>70</v>
      </c>
      <c r="E31" s="49" t="s">
        <v>35</v>
      </c>
      <c r="F31" s="50" t="s">
        <v>43</v>
      </c>
    </row>
    <row r="32">
      <c r="B32" s="36" t="s">
        <v>61</v>
      </c>
      <c r="C32" s="37" t="s">
        <v>61</v>
      </c>
      <c r="D32" s="51" t="s">
        <v>61</v>
      </c>
      <c r="E32" s="52" t="s">
        <v>61</v>
      </c>
      <c r="F32" s="53" t="s">
        <v>61</v>
      </c>
    </row>
    <row r="33">
      <c r="A33" s="28">
        <f>L9</f>
        <v>46175</v>
      </c>
      <c r="B33" s="38">
        <v>0.0</v>
      </c>
      <c r="C33" s="39">
        <v>0.0</v>
      </c>
      <c r="D33" s="54">
        <v>0.0</v>
      </c>
      <c r="E33" s="55">
        <v>0.0</v>
      </c>
      <c r="F33" s="56">
        <v>0.0</v>
      </c>
    </row>
    <row r="34">
      <c r="A34" s="32" t="s">
        <v>62</v>
      </c>
      <c r="B34" s="32">
        <v>5.0</v>
      </c>
      <c r="C34" s="32">
        <v>1.0</v>
      </c>
      <c r="D34" s="32">
        <v>1.0</v>
      </c>
      <c r="E34" s="32">
        <v>4.0</v>
      </c>
      <c r="F34" s="32">
        <v>10.0</v>
      </c>
      <c r="H34" s="41" t="s">
        <v>63</v>
      </c>
      <c r="I34" s="32" t="s">
        <v>64</v>
      </c>
    </row>
    <row r="35">
      <c r="A35" s="32" t="s">
        <v>65</v>
      </c>
      <c r="B35" s="32">
        <f t="shared" ref="B35:F35" si="4">B33*B34</f>
        <v>0</v>
      </c>
      <c r="C35" s="32">
        <f t="shared" si="4"/>
        <v>0</v>
      </c>
      <c r="D35" s="32">
        <f t="shared" si="4"/>
        <v>0</v>
      </c>
      <c r="E35" s="32">
        <f t="shared" si="4"/>
        <v>0</v>
      </c>
      <c r="F35" s="32">
        <f t="shared" si="4"/>
        <v>0</v>
      </c>
      <c r="G35" s="43"/>
      <c r="H35" s="29">
        <f>B36+C36+D36+E36+F36</f>
        <v>0</v>
      </c>
      <c r="I35" s="32">
        <f>sum(B36,C36,D36,E36,F36)</f>
        <v>0</v>
      </c>
    </row>
    <row r="36">
      <c r="A36" s="32" t="s">
        <v>66</v>
      </c>
      <c r="B36" s="45">
        <f t="shared" ref="B36:F36" si="5">B35</f>
        <v>0</v>
      </c>
      <c r="C36" s="45">
        <f t="shared" si="5"/>
        <v>0</v>
      </c>
      <c r="D36" s="45">
        <f t="shared" si="5"/>
        <v>0</v>
      </c>
      <c r="E36" s="45">
        <f t="shared" si="5"/>
        <v>0</v>
      </c>
      <c r="F36" s="45">
        <f t="shared" si="5"/>
        <v>0</v>
      </c>
      <c r="G36" s="43"/>
      <c r="H36" s="46"/>
    </row>
    <row r="40">
      <c r="B40" s="33" t="s">
        <v>60</v>
      </c>
      <c r="C40" s="34" t="s">
        <v>10</v>
      </c>
      <c r="D40" s="48" t="s">
        <v>70</v>
      </c>
      <c r="E40" s="49" t="s">
        <v>35</v>
      </c>
      <c r="F40" s="50" t="s">
        <v>43</v>
      </c>
    </row>
    <row r="41">
      <c r="B41" s="36" t="s">
        <v>61</v>
      </c>
      <c r="C41" s="37" t="s">
        <v>61</v>
      </c>
      <c r="D41" s="51" t="s">
        <v>61</v>
      </c>
      <c r="E41" s="52" t="s">
        <v>61</v>
      </c>
      <c r="F41" s="53" t="s">
        <v>61</v>
      </c>
    </row>
    <row r="42">
      <c r="A42" s="28">
        <f>L10</f>
        <v>46176</v>
      </c>
      <c r="B42" s="38">
        <v>0.0</v>
      </c>
      <c r="C42" s="39">
        <v>0.0</v>
      </c>
      <c r="D42" s="54">
        <v>0.0</v>
      </c>
      <c r="E42" s="55">
        <v>0.0</v>
      </c>
      <c r="F42" s="56">
        <v>0.0</v>
      </c>
    </row>
    <row r="43">
      <c r="A43" s="32" t="s">
        <v>62</v>
      </c>
      <c r="B43" s="32">
        <v>5.0</v>
      </c>
      <c r="C43" s="32">
        <v>1.0</v>
      </c>
      <c r="D43" s="32">
        <v>1.0</v>
      </c>
      <c r="E43" s="32">
        <v>4.0</v>
      </c>
      <c r="F43" s="32">
        <v>10.0</v>
      </c>
      <c r="H43" s="41" t="s">
        <v>63</v>
      </c>
      <c r="I43" s="32" t="s">
        <v>64</v>
      </c>
    </row>
    <row r="44">
      <c r="A44" s="32" t="s">
        <v>65</v>
      </c>
      <c r="B44" s="32">
        <f t="shared" ref="B44:F44" si="6">B42*B43</f>
        <v>0</v>
      </c>
      <c r="C44" s="32">
        <f t="shared" si="6"/>
        <v>0</v>
      </c>
      <c r="D44" s="32">
        <f t="shared" si="6"/>
        <v>0</v>
      </c>
      <c r="E44" s="32">
        <f t="shared" si="6"/>
        <v>0</v>
      </c>
      <c r="F44" s="32">
        <f t="shared" si="6"/>
        <v>0</v>
      </c>
      <c r="G44" s="43"/>
      <c r="H44" s="29">
        <f>B45+C45+D45+E45+F45</f>
        <v>0</v>
      </c>
      <c r="I44" s="32">
        <f>sum(B45,C45,D45,E45,F45)</f>
        <v>0</v>
      </c>
    </row>
    <row r="45">
      <c r="A45" s="32" t="s">
        <v>66</v>
      </c>
      <c r="B45" s="45">
        <f t="shared" ref="B45:F45" si="7">B44</f>
        <v>0</v>
      </c>
      <c r="C45" s="45">
        <f t="shared" si="7"/>
        <v>0</v>
      </c>
      <c r="D45" s="45">
        <f t="shared" si="7"/>
        <v>0</v>
      </c>
      <c r="E45" s="45">
        <f t="shared" si="7"/>
        <v>0</v>
      </c>
      <c r="F45" s="45">
        <f t="shared" si="7"/>
        <v>0</v>
      </c>
      <c r="G45" s="43"/>
      <c r="H45" s="46"/>
    </row>
    <row r="50">
      <c r="B50" s="33" t="s">
        <v>60</v>
      </c>
      <c r="C50" s="34" t="s">
        <v>10</v>
      </c>
      <c r="D50" s="48" t="s">
        <v>70</v>
      </c>
      <c r="E50" s="49" t="s">
        <v>35</v>
      </c>
      <c r="F50" s="50" t="s">
        <v>43</v>
      </c>
    </row>
    <row r="51">
      <c r="B51" s="36" t="s">
        <v>61</v>
      </c>
      <c r="C51" s="37" t="s">
        <v>61</v>
      </c>
      <c r="D51" s="51" t="s">
        <v>61</v>
      </c>
      <c r="E51" s="52" t="s">
        <v>61</v>
      </c>
      <c r="F51" s="53" t="s">
        <v>61</v>
      </c>
    </row>
    <row r="52">
      <c r="A52" s="28">
        <f>L11</f>
        <v>46177</v>
      </c>
      <c r="B52" s="38">
        <v>0.0</v>
      </c>
      <c r="C52" s="39">
        <v>0.0</v>
      </c>
      <c r="D52" s="54">
        <v>0.0</v>
      </c>
      <c r="E52" s="55">
        <v>0.0</v>
      </c>
      <c r="F52" s="56">
        <v>0.0</v>
      </c>
    </row>
    <row r="53">
      <c r="A53" s="32" t="s">
        <v>62</v>
      </c>
      <c r="B53" s="32">
        <v>5.0</v>
      </c>
      <c r="C53" s="32">
        <v>2.0</v>
      </c>
      <c r="D53" s="32">
        <v>4.0</v>
      </c>
      <c r="E53" s="32">
        <v>4.0</v>
      </c>
      <c r="F53" s="32">
        <v>10.0</v>
      </c>
      <c r="H53" s="41" t="s">
        <v>63</v>
      </c>
      <c r="I53" s="32" t="s">
        <v>64</v>
      </c>
    </row>
    <row r="54">
      <c r="A54" s="32" t="s">
        <v>65</v>
      </c>
      <c r="B54" s="32">
        <f t="shared" ref="B54:F54" si="8">B52*B53</f>
        <v>0</v>
      </c>
      <c r="C54" s="32">
        <f t="shared" si="8"/>
        <v>0</v>
      </c>
      <c r="D54" s="32">
        <f t="shared" si="8"/>
        <v>0</v>
      </c>
      <c r="E54" s="32">
        <f t="shared" si="8"/>
        <v>0</v>
      </c>
      <c r="F54" s="32">
        <f t="shared" si="8"/>
        <v>0</v>
      </c>
      <c r="G54" s="43"/>
      <c r="H54" s="29">
        <f>B55+C55+D55+E55+F55</f>
        <v>0</v>
      </c>
      <c r="I54" s="32">
        <f>sum(B55,C55,D55,E55,F55)</f>
        <v>0</v>
      </c>
    </row>
    <row r="55">
      <c r="A55" s="32" t="s">
        <v>66</v>
      </c>
      <c r="B55" s="45">
        <f t="shared" ref="B55:F55" si="9">B54</f>
        <v>0</v>
      </c>
      <c r="C55" s="45">
        <f t="shared" si="9"/>
        <v>0</v>
      </c>
      <c r="D55" s="45">
        <f t="shared" si="9"/>
        <v>0</v>
      </c>
      <c r="E55" s="45">
        <f t="shared" si="9"/>
        <v>0</v>
      </c>
      <c r="F55" s="45">
        <f t="shared" si="9"/>
        <v>0</v>
      </c>
      <c r="G55" s="43"/>
      <c r="H55" s="46"/>
    </row>
    <row r="59">
      <c r="B59" s="33" t="s">
        <v>60</v>
      </c>
      <c r="C59" s="34" t="s">
        <v>10</v>
      </c>
      <c r="D59" s="48" t="s">
        <v>70</v>
      </c>
      <c r="E59" s="49" t="s">
        <v>35</v>
      </c>
      <c r="F59" s="50" t="s">
        <v>43</v>
      </c>
    </row>
    <row r="60">
      <c r="B60" s="36" t="s">
        <v>61</v>
      </c>
      <c r="C60" s="37" t="s">
        <v>61</v>
      </c>
      <c r="D60" s="51" t="s">
        <v>61</v>
      </c>
      <c r="E60" s="52" t="s">
        <v>61</v>
      </c>
      <c r="F60" s="53" t="s">
        <v>61</v>
      </c>
    </row>
    <row r="61">
      <c r="A61" s="28">
        <f>L12</f>
        <v>46178</v>
      </c>
      <c r="B61" s="38">
        <v>0.0</v>
      </c>
      <c r="C61" s="39">
        <v>0.0</v>
      </c>
      <c r="D61" s="54">
        <v>0.0</v>
      </c>
      <c r="E61" s="55">
        <v>0.0</v>
      </c>
      <c r="F61" s="56">
        <v>0.0</v>
      </c>
    </row>
    <row r="62">
      <c r="A62" s="32" t="s">
        <v>62</v>
      </c>
      <c r="B62" s="32">
        <v>5.0</v>
      </c>
      <c r="C62" s="32">
        <v>1.0</v>
      </c>
      <c r="D62" s="32">
        <v>1.0</v>
      </c>
      <c r="E62" s="32">
        <v>4.0</v>
      </c>
      <c r="F62" s="32">
        <v>10.0</v>
      </c>
      <c r="H62" s="41" t="s">
        <v>63</v>
      </c>
      <c r="I62" s="32" t="s">
        <v>64</v>
      </c>
    </row>
    <row r="63">
      <c r="A63" s="32" t="s">
        <v>65</v>
      </c>
      <c r="B63" s="32">
        <f t="shared" ref="B63:F63" si="10">B61*B62</f>
        <v>0</v>
      </c>
      <c r="C63" s="32">
        <f t="shared" si="10"/>
        <v>0</v>
      </c>
      <c r="D63" s="32">
        <f t="shared" si="10"/>
        <v>0</v>
      </c>
      <c r="E63" s="32">
        <f t="shared" si="10"/>
        <v>0</v>
      </c>
      <c r="F63" s="32">
        <f t="shared" si="10"/>
        <v>0</v>
      </c>
      <c r="G63" s="43"/>
      <c r="H63" s="29">
        <f>B64+C64+D64+E64+F64</f>
        <v>0</v>
      </c>
      <c r="I63" s="32">
        <f>sum(B64,C64,D64,E64,F64)</f>
        <v>0</v>
      </c>
    </row>
    <row r="64">
      <c r="A64" s="32" t="s">
        <v>66</v>
      </c>
      <c r="B64" s="45">
        <f t="shared" ref="B64:F64" si="11">B63</f>
        <v>0</v>
      </c>
      <c r="C64" s="45">
        <f t="shared" si="11"/>
        <v>0</v>
      </c>
      <c r="D64" s="45">
        <f t="shared" si="11"/>
        <v>0</v>
      </c>
      <c r="E64" s="45">
        <f t="shared" si="11"/>
        <v>0</v>
      </c>
      <c r="F64" s="45">
        <f t="shared" si="11"/>
        <v>0</v>
      </c>
      <c r="G64" s="43"/>
      <c r="H64" s="46"/>
    </row>
  </sheetData>
  <mergeCells count="10">
    <mergeCell ref="G9:H9"/>
    <mergeCell ref="G11:H11"/>
    <mergeCell ref="C3:E3"/>
    <mergeCell ref="A6:F6"/>
    <mergeCell ref="A7:A9"/>
    <mergeCell ref="B7:F7"/>
    <mergeCell ref="G8:H8"/>
    <mergeCell ref="B10:F10"/>
    <mergeCell ref="A11:A13"/>
    <mergeCell ref="G12:H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5" max="5" width="16.5"/>
    <col customWidth="1" min="6" max="6" width="22.75"/>
    <col customWidth="1" min="8" max="8" width="13.75"/>
    <col customWidth="1" min="12" max="12" width="29.38"/>
  </cols>
  <sheetData>
    <row r="1">
      <c r="A1" s="47" t="s">
        <v>67</v>
      </c>
      <c r="B1" s="10"/>
    </row>
    <row r="2">
      <c r="B2" s="10"/>
    </row>
    <row r="3">
      <c r="C3" s="11" t="s">
        <v>45</v>
      </c>
      <c r="D3" s="12"/>
      <c r="E3" s="13"/>
    </row>
    <row r="6">
      <c r="A6" s="14"/>
      <c r="B6" s="12"/>
      <c r="C6" s="12"/>
      <c r="D6" s="12"/>
      <c r="E6" s="12"/>
      <c r="F6" s="13"/>
      <c r="G6" s="1"/>
      <c r="H6" s="1"/>
    </row>
    <row r="7">
      <c r="A7" s="15"/>
      <c r="B7" s="16" t="s">
        <v>46</v>
      </c>
      <c r="C7" s="12"/>
      <c r="D7" s="12"/>
      <c r="E7" s="12"/>
      <c r="F7" s="13"/>
      <c r="G7" s="1"/>
      <c r="H7" s="1"/>
    </row>
    <row r="8">
      <c r="B8" s="17" t="s">
        <v>47</v>
      </c>
      <c r="C8" s="17" t="s">
        <v>48</v>
      </c>
      <c r="D8" s="17" t="s">
        <v>49</v>
      </c>
      <c r="E8" s="17" t="s">
        <v>50</v>
      </c>
      <c r="F8" s="17" t="s">
        <v>51</v>
      </c>
      <c r="G8" s="16" t="s">
        <v>52</v>
      </c>
      <c r="H8" s="13"/>
      <c r="L8" s="28">
        <v>46174.0</v>
      </c>
    </row>
    <row r="9">
      <c r="B9" s="18">
        <v>0.0</v>
      </c>
      <c r="C9" s="18">
        <v>0.0</v>
      </c>
      <c r="D9" s="18">
        <v>0.0</v>
      </c>
      <c r="E9" s="18">
        <v>0.0</v>
      </c>
      <c r="F9" s="18">
        <v>0.0</v>
      </c>
      <c r="G9" s="19">
        <f>sum(B9:F9)</f>
        <v>0</v>
      </c>
      <c r="H9" s="13"/>
      <c r="L9" s="28">
        <v>46175.0</v>
      </c>
    </row>
    <row r="10">
      <c r="A10" s="20" t="s">
        <v>71</v>
      </c>
      <c r="B10" s="21" t="s">
        <v>54</v>
      </c>
      <c r="C10" s="12"/>
      <c r="D10" s="12"/>
      <c r="E10" s="12"/>
      <c r="F10" s="13"/>
      <c r="G10" s="22"/>
      <c r="H10" s="22"/>
      <c r="L10" s="28">
        <v>46176.0</v>
      </c>
    </row>
    <row r="11">
      <c r="A11" s="15"/>
      <c r="B11" s="23" t="s">
        <v>55</v>
      </c>
      <c r="C11" s="23" t="s">
        <v>48</v>
      </c>
      <c r="D11" s="23" t="s">
        <v>49</v>
      </c>
      <c r="E11" s="24" t="s">
        <v>50</v>
      </c>
      <c r="F11" s="24" t="s">
        <v>51</v>
      </c>
      <c r="G11" s="21" t="s">
        <v>56</v>
      </c>
      <c r="H11" s="13"/>
      <c r="L11" s="28">
        <v>46177.0</v>
      </c>
    </row>
    <row r="12">
      <c r="B12" s="25">
        <f>H24</f>
        <v>0</v>
      </c>
      <c r="C12" s="25">
        <f>H34</f>
        <v>0</v>
      </c>
      <c r="D12" s="25">
        <f>H43</f>
        <v>0</v>
      </c>
      <c r="E12" s="25">
        <f>H53</f>
        <v>0</v>
      </c>
      <c r="F12" s="25">
        <f>H62</f>
        <v>0</v>
      </c>
      <c r="G12" s="26">
        <f>sum(B12:F12)</f>
        <v>0</v>
      </c>
      <c r="H12" s="13"/>
      <c r="L12" s="28">
        <v>46178.0</v>
      </c>
    </row>
    <row r="13">
      <c r="B13" s="27">
        <f t="shared" ref="B13:F13" si="1">B12/12</f>
        <v>0</v>
      </c>
      <c r="C13" s="27">
        <f t="shared" si="1"/>
        <v>0</v>
      </c>
      <c r="D13" s="27">
        <f t="shared" si="1"/>
        <v>0</v>
      </c>
      <c r="E13" s="27">
        <f t="shared" si="1"/>
        <v>0</v>
      </c>
      <c r="F13" s="27">
        <f t="shared" si="1"/>
        <v>0</v>
      </c>
      <c r="G13" s="22"/>
      <c r="H13" s="22"/>
    </row>
    <row r="14">
      <c r="A14" s="29" t="s">
        <v>57</v>
      </c>
      <c r="B14" s="29" t="s">
        <v>58</v>
      </c>
      <c r="C14" s="22"/>
      <c r="D14" s="22"/>
      <c r="E14" s="22"/>
      <c r="F14" s="22"/>
      <c r="G14" s="22"/>
    </row>
    <row r="15">
      <c r="A15" s="30">
        <v>60.0</v>
      </c>
      <c r="B15" s="31">
        <f>A18/A15</f>
        <v>0</v>
      </c>
      <c r="C15" s="1"/>
      <c r="D15" s="1"/>
      <c r="E15" s="1"/>
      <c r="F15" s="1"/>
      <c r="G15" s="22"/>
    </row>
    <row r="17">
      <c r="A17" s="32" t="s">
        <v>59</v>
      </c>
    </row>
    <row r="18">
      <c r="A18" s="32">
        <f>sum(I24,I34,I43,I53,I62)</f>
        <v>0</v>
      </c>
    </row>
    <row r="20">
      <c r="B20" s="33" t="s">
        <v>60</v>
      </c>
      <c r="C20" s="34" t="s">
        <v>72</v>
      </c>
      <c r="D20" s="48" t="s">
        <v>34</v>
      </c>
      <c r="E20" s="49" t="s">
        <v>36</v>
      </c>
      <c r="F20" s="50" t="s">
        <v>38</v>
      </c>
    </row>
    <row r="21">
      <c r="B21" s="36" t="s">
        <v>61</v>
      </c>
      <c r="C21" s="37" t="s">
        <v>61</v>
      </c>
      <c r="D21" s="51" t="s">
        <v>61</v>
      </c>
      <c r="E21" s="52" t="s">
        <v>61</v>
      </c>
      <c r="F21" s="53" t="s">
        <v>61</v>
      </c>
    </row>
    <row r="22">
      <c r="A22" s="28">
        <f>L8</f>
        <v>46174</v>
      </c>
      <c r="B22" s="38">
        <v>0.0</v>
      </c>
      <c r="C22" s="39">
        <v>0.0</v>
      </c>
      <c r="D22" s="54">
        <v>0.0</v>
      </c>
      <c r="E22" s="55">
        <v>0.0</v>
      </c>
      <c r="F22" s="56">
        <v>0.0</v>
      </c>
    </row>
    <row r="23">
      <c r="A23" s="32" t="s">
        <v>62</v>
      </c>
      <c r="B23" s="32">
        <v>5.0</v>
      </c>
      <c r="C23" s="32">
        <v>3.0</v>
      </c>
      <c r="D23" s="32">
        <v>1.0</v>
      </c>
      <c r="E23" s="32">
        <v>2.0</v>
      </c>
      <c r="F23" s="32">
        <v>2.0</v>
      </c>
      <c r="H23" s="41" t="s">
        <v>63</v>
      </c>
      <c r="I23" s="32" t="s">
        <v>64</v>
      </c>
    </row>
    <row r="24">
      <c r="A24" s="32" t="s">
        <v>65</v>
      </c>
      <c r="B24" s="32">
        <f t="shared" ref="B24:F24" si="2">B22*B23</f>
        <v>0</v>
      </c>
      <c r="C24" s="32">
        <f t="shared" si="2"/>
        <v>0</v>
      </c>
      <c r="D24" s="32">
        <f t="shared" si="2"/>
        <v>0</v>
      </c>
      <c r="E24" s="32">
        <f t="shared" si="2"/>
        <v>0</v>
      </c>
      <c r="F24" s="32">
        <f t="shared" si="2"/>
        <v>0</v>
      </c>
      <c r="G24" s="43"/>
      <c r="H24" s="29">
        <f>B25+C25+D25+E25+F25</f>
        <v>0</v>
      </c>
      <c r="I24" s="32">
        <f>sum(B25,C25,D25,E25,F25)</f>
        <v>0</v>
      </c>
    </row>
    <row r="25">
      <c r="A25" s="32" t="s">
        <v>66</v>
      </c>
      <c r="B25" s="45">
        <f t="shared" ref="B25:F25" si="3">B24</f>
        <v>0</v>
      </c>
      <c r="C25" s="45">
        <f t="shared" si="3"/>
        <v>0</v>
      </c>
      <c r="D25" s="45">
        <f t="shared" si="3"/>
        <v>0</v>
      </c>
      <c r="E25" s="45">
        <f t="shared" si="3"/>
        <v>0</v>
      </c>
      <c r="F25" s="45">
        <f t="shared" si="3"/>
        <v>0</v>
      </c>
      <c r="G25" s="43"/>
      <c r="H25" s="46"/>
    </row>
    <row r="30">
      <c r="B30" s="33" t="s">
        <v>60</v>
      </c>
      <c r="C30" s="34" t="s">
        <v>72</v>
      </c>
      <c r="D30" s="48" t="s">
        <v>34</v>
      </c>
      <c r="E30" s="49" t="s">
        <v>36</v>
      </c>
      <c r="F30" s="50" t="s">
        <v>38</v>
      </c>
    </row>
    <row r="31">
      <c r="B31" s="36" t="s">
        <v>61</v>
      </c>
      <c r="C31" s="37" t="s">
        <v>61</v>
      </c>
      <c r="D31" s="51" t="s">
        <v>61</v>
      </c>
      <c r="E31" s="52" t="s">
        <v>61</v>
      </c>
      <c r="F31" s="53" t="s">
        <v>61</v>
      </c>
    </row>
    <row r="32">
      <c r="A32" s="28">
        <f>L9</f>
        <v>46175</v>
      </c>
      <c r="B32" s="38">
        <v>0.0</v>
      </c>
      <c r="C32" s="39">
        <v>0.0</v>
      </c>
      <c r="D32" s="54">
        <v>0.0</v>
      </c>
      <c r="E32" s="55">
        <v>0.0</v>
      </c>
      <c r="F32" s="56">
        <v>0.0</v>
      </c>
    </row>
    <row r="33">
      <c r="A33" s="32" t="s">
        <v>62</v>
      </c>
      <c r="B33" s="32">
        <v>5.0</v>
      </c>
      <c r="C33" s="32">
        <v>2.0</v>
      </c>
      <c r="D33" s="32">
        <v>1.0</v>
      </c>
      <c r="E33" s="32">
        <v>2.0</v>
      </c>
      <c r="F33" s="32">
        <v>2.0</v>
      </c>
      <c r="H33" s="41" t="s">
        <v>63</v>
      </c>
      <c r="I33" s="32" t="s">
        <v>64</v>
      </c>
    </row>
    <row r="34">
      <c r="A34" s="32" t="s">
        <v>65</v>
      </c>
      <c r="B34" s="32">
        <f t="shared" ref="B34:F34" si="4">B32*B33</f>
        <v>0</v>
      </c>
      <c r="C34" s="32">
        <f t="shared" si="4"/>
        <v>0</v>
      </c>
      <c r="D34" s="32">
        <f t="shared" si="4"/>
        <v>0</v>
      </c>
      <c r="E34" s="32">
        <f t="shared" si="4"/>
        <v>0</v>
      </c>
      <c r="F34" s="32">
        <f t="shared" si="4"/>
        <v>0</v>
      </c>
      <c r="G34" s="43"/>
      <c r="H34" s="29">
        <f>B35+C35+D35+E35+F35</f>
        <v>0</v>
      </c>
      <c r="I34" s="32">
        <f>sum(B35,C35,D35,E35,F35)</f>
        <v>0</v>
      </c>
    </row>
    <row r="35">
      <c r="A35" s="32" t="s">
        <v>66</v>
      </c>
      <c r="B35" s="45">
        <f t="shared" ref="B35:F35" si="5">B34</f>
        <v>0</v>
      </c>
      <c r="C35" s="45">
        <f t="shared" si="5"/>
        <v>0</v>
      </c>
      <c r="D35" s="45">
        <f t="shared" si="5"/>
        <v>0</v>
      </c>
      <c r="E35" s="45">
        <f t="shared" si="5"/>
        <v>0</v>
      </c>
      <c r="F35" s="45">
        <f t="shared" si="5"/>
        <v>0</v>
      </c>
      <c r="G35" s="43"/>
      <c r="H35" s="46"/>
    </row>
    <row r="39">
      <c r="B39" s="33" t="s">
        <v>60</v>
      </c>
      <c r="C39" s="34" t="s">
        <v>72</v>
      </c>
      <c r="D39" s="48" t="s">
        <v>34</v>
      </c>
      <c r="E39" s="49" t="s">
        <v>36</v>
      </c>
      <c r="F39" s="50" t="s">
        <v>38</v>
      </c>
    </row>
    <row r="40">
      <c r="B40" s="36" t="s">
        <v>61</v>
      </c>
      <c r="C40" s="37" t="s">
        <v>61</v>
      </c>
      <c r="D40" s="51" t="s">
        <v>61</v>
      </c>
      <c r="E40" s="52" t="s">
        <v>61</v>
      </c>
      <c r="F40" s="53" t="s">
        <v>61</v>
      </c>
    </row>
    <row r="41">
      <c r="A41" s="28">
        <f>L10</f>
        <v>46176</v>
      </c>
      <c r="B41" s="38">
        <v>0.0</v>
      </c>
      <c r="C41" s="39">
        <v>0.0</v>
      </c>
      <c r="D41" s="54">
        <v>0.0</v>
      </c>
      <c r="E41" s="55">
        <v>0.0</v>
      </c>
      <c r="F41" s="56">
        <v>0.0</v>
      </c>
    </row>
    <row r="42">
      <c r="A42" s="32" t="s">
        <v>62</v>
      </c>
      <c r="B42" s="32">
        <v>5.0</v>
      </c>
      <c r="C42" s="32">
        <v>2.0</v>
      </c>
      <c r="D42" s="32">
        <v>1.0</v>
      </c>
      <c r="E42" s="32">
        <v>2.0</v>
      </c>
      <c r="F42" s="32">
        <v>2.0</v>
      </c>
      <c r="H42" s="41" t="s">
        <v>63</v>
      </c>
      <c r="I42" s="32" t="s">
        <v>64</v>
      </c>
    </row>
    <row r="43">
      <c r="A43" s="32" t="s">
        <v>65</v>
      </c>
      <c r="B43" s="32">
        <f t="shared" ref="B43:F43" si="6">B41*B42</f>
        <v>0</v>
      </c>
      <c r="C43" s="32">
        <f t="shared" si="6"/>
        <v>0</v>
      </c>
      <c r="D43" s="32">
        <f t="shared" si="6"/>
        <v>0</v>
      </c>
      <c r="E43" s="32">
        <f t="shared" si="6"/>
        <v>0</v>
      </c>
      <c r="F43" s="32">
        <f t="shared" si="6"/>
        <v>0</v>
      </c>
      <c r="G43" s="43"/>
      <c r="H43" s="29">
        <f>B44+C44+D44+E44+F44</f>
        <v>0</v>
      </c>
      <c r="I43" s="32">
        <f>sum(B44,C44,D44,E44,F44)</f>
        <v>0</v>
      </c>
    </row>
    <row r="44">
      <c r="A44" s="32" t="s">
        <v>66</v>
      </c>
      <c r="B44" s="45">
        <f t="shared" ref="B44:F44" si="7">B43</f>
        <v>0</v>
      </c>
      <c r="C44" s="45">
        <f t="shared" si="7"/>
        <v>0</v>
      </c>
      <c r="D44" s="45">
        <f t="shared" si="7"/>
        <v>0</v>
      </c>
      <c r="E44" s="45">
        <f t="shared" si="7"/>
        <v>0</v>
      </c>
      <c r="F44" s="45">
        <f t="shared" si="7"/>
        <v>0</v>
      </c>
      <c r="G44" s="43"/>
      <c r="H44" s="46"/>
    </row>
    <row r="49">
      <c r="B49" s="33" t="s">
        <v>60</v>
      </c>
      <c r="C49" s="34" t="s">
        <v>72</v>
      </c>
      <c r="D49" s="48" t="s">
        <v>34</v>
      </c>
      <c r="E49" s="49" t="s">
        <v>36</v>
      </c>
      <c r="F49" s="50" t="s">
        <v>38</v>
      </c>
    </row>
    <row r="50">
      <c r="B50" s="36" t="s">
        <v>61</v>
      </c>
      <c r="C50" s="37" t="s">
        <v>61</v>
      </c>
      <c r="D50" s="51" t="s">
        <v>61</v>
      </c>
      <c r="E50" s="52" t="s">
        <v>61</v>
      </c>
      <c r="F50" s="53" t="s">
        <v>61</v>
      </c>
    </row>
    <row r="51">
      <c r="A51" s="28">
        <f>L11</f>
        <v>46177</v>
      </c>
      <c r="B51" s="38">
        <v>0.0</v>
      </c>
      <c r="C51" s="39">
        <v>0.0</v>
      </c>
      <c r="D51" s="54">
        <v>0.0</v>
      </c>
      <c r="E51" s="55">
        <v>0.0</v>
      </c>
      <c r="F51" s="56">
        <v>0.0</v>
      </c>
    </row>
    <row r="52">
      <c r="A52" s="32" t="s">
        <v>62</v>
      </c>
      <c r="B52" s="32">
        <v>5.0</v>
      </c>
      <c r="C52" s="32">
        <v>2.0</v>
      </c>
      <c r="D52" s="32">
        <v>1.0</v>
      </c>
      <c r="E52" s="32">
        <v>2.0</v>
      </c>
      <c r="F52" s="32">
        <v>2.0</v>
      </c>
      <c r="H52" s="41" t="s">
        <v>63</v>
      </c>
      <c r="I52" s="32" t="s">
        <v>64</v>
      </c>
    </row>
    <row r="53">
      <c r="A53" s="32" t="s">
        <v>65</v>
      </c>
      <c r="B53" s="32">
        <f t="shared" ref="B53:F53" si="8">B51*B52</f>
        <v>0</v>
      </c>
      <c r="C53" s="32">
        <f t="shared" si="8"/>
        <v>0</v>
      </c>
      <c r="D53" s="32">
        <f t="shared" si="8"/>
        <v>0</v>
      </c>
      <c r="E53" s="32">
        <f t="shared" si="8"/>
        <v>0</v>
      </c>
      <c r="F53" s="32">
        <f t="shared" si="8"/>
        <v>0</v>
      </c>
      <c r="G53" s="43"/>
      <c r="H53" s="29">
        <f>B54+C54+D54+E54+F54</f>
        <v>0</v>
      </c>
      <c r="I53" s="32">
        <f>sum(B54,C54,D54,E54,F54)</f>
        <v>0</v>
      </c>
    </row>
    <row r="54">
      <c r="A54" s="32" t="s">
        <v>66</v>
      </c>
      <c r="B54" s="45">
        <f t="shared" ref="B54:F54" si="9">B53</f>
        <v>0</v>
      </c>
      <c r="C54" s="45">
        <f t="shared" si="9"/>
        <v>0</v>
      </c>
      <c r="D54" s="45">
        <f t="shared" si="9"/>
        <v>0</v>
      </c>
      <c r="E54" s="45">
        <f t="shared" si="9"/>
        <v>0</v>
      </c>
      <c r="F54" s="45">
        <f t="shared" si="9"/>
        <v>0</v>
      </c>
      <c r="G54" s="43"/>
      <c r="H54" s="46"/>
    </row>
    <row r="58">
      <c r="B58" s="33" t="s">
        <v>60</v>
      </c>
      <c r="C58" s="34" t="s">
        <v>72</v>
      </c>
      <c r="D58" s="48" t="s">
        <v>34</v>
      </c>
      <c r="E58" s="49" t="s">
        <v>36</v>
      </c>
      <c r="F58" s="50" t="s">
        <v>38</v>
      </c>
    </row>
    <row r="59">
      <c r="B59" s="36" t="s">
        <v>61</v>
      </c>
      <c r="C59" s="37" t="s">
        <v>61</v>
      </c>
      <c r="D59" s="51" t="s">
        <v>61</v>
      </c>
      <c r="E59" s="52" t="s">
        <v>61</v>
      </c>
      <c r="F59" s="53" t="s">
        <v>61</v>
      </c>
    </row>
    <row r="60">
      <c r="A60" s="28">
        <f>L12</f>
        <v>46178</v>
      </c>
      <c r="B60" s="38">
        <v>0.0</v>
      </c>
      <c r="C60" s="39">
        <v>0.0</v>
      </c>
      <c r="D60" s="54">
        <v>0.0</v>
      </c>
      <c r="E60" s="55">
        <v>0.0</v>
      </c>
      <c r="F60" s="56">
        <v>0.0</v>
      </c>
    </row>
    <row r="61">
      <c r="A61" s="32" t="s">
        <v>62</v>
      </c>
      <c r="B61" s="32">
        <v>5.0</v>
      </c>
      <c r="C61" s="32">
        <v>3.0</v>
      </c>
      <c r="D61" s="32">
        <v>1.0</v>
      </c>
      <c r="E61" s="32">
        <v>2.0</v>
      </c>
      <c r="F61" s="32">
        <v>2.0</v>
      </c>
      <c r="H61" s="41" t="s">
        <v>63</v>
      </c>
      <c r="I61" s="32" t="s">
        <v>64</v>
      </c>
    </row>
    <row r="62">
      <c r="A62" s="32" t="s">
        <v>65</v>
      </c>
      <c r="B62" s="32">
        <f t="shared" ref="B62:F62" si="10">B60*B61</f>
        <v>0</v>
      </c>
      <c r="C62" s="32">
        <f t="shared" si="10"/>
        <v>0</v>
      </c>
      <c r="D62" s="32">
        <f t="shared" si="10"/>
        <v>0</v>
      </c>
      <c r="E62" s="32">
        <f t="shared" si="10"/>
        <v>0</v>
      </c>
      <c r="F62" s="32">
        <f t="shared" si="10"/>
        <v>0</v>
      </c>
      <c r="G62" s="43"/>
      <c r="H62" s="29">
        <f>B63+C63+D63+E63+F63</f>
        <v>0</v>
      </c>
      <c r="I62" s="32">
        <f>sum(B63,C63,D63,E63,F63)</f>
        <v>0</v>
      </c>
    </row>
    <row r="63">
      <c r="A63" s="32" t="s">
        <v>66</v>
      </c>
      <c r="B63" s="45">
        <f t="shared" ref="B63:F63" si="11">B62</f>
        <v>0</v>
      </c>
      <c r="C63" s="45">
        <f t="shared" si="11"/>
        <v>0</v>
      </c>
      <c r="D63" s="45">
        <f t="shared" si="11"/>
        <v>0</v>
      </c>
      <c r="E63" s="45">
        <f t="shared" si="11"/>
        <v>0</v>
      </c>
      <c r="F63" s="45">
        <f t="shared" si="11"/>
        <v>0</v>
      </c>
      <c r="G63" s="43"/>
      <c r="H63" s="46"/>
    </row>
  </sheetData>
  <mergeCells count="10">
    <mergeCell ref="G9:H9"/>
    <mergeCell ref="G11:H11"/>
    <mergeCell ref="C3:E3"/>
    <mergeCell ref="A6:F6"/>
    <mergeCell ref="A7:A9"/>
    <mergeCell ref="B7:F7"/>
    <mergeCell ref="G8:H8"/>
    <mergeCell ref="B10:F10"/>
    <mergeCell ref="A11:A13"/>
    <mergeCell ref="G12:H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4" max="4" width="18.5"/>
    <col customWidth="1" min="5" max="5" width="16.5"/>
    <col customWidth="1" min="6" max="6" width="18.0"/>
    <col customWidth="1" min="7" max="7" width="15.25"/>
    <col customWidth="1" min="8" max="8" width="24.25"/>
    <col customWidth="1" min="12" max="12" width="29.38"/>
  </cols>
  <sheetData>
    <row r="1">
      <c r="A1" s="47" t="s">
        <v>67</v>
      </c>
      <c r="B1" s="10"/>
    </row>
    <row r="2">
      <c r="B2" s="10"/>
    </row>
    <row r="3">
      <c r="C3" s="11" t="s">
        <v>45</v>
      </c>
      <c r="D3" s="12"/>
      <c r="E3" s="13"/>
    </row>
    <row r="6">
      <c r="A6" s="14"/>
      <c r="B6" s="12"/>
      <c r="C6" s="12"/>
      <c r="D6" s="12"/>
      <c r="E6" s="12"/>
      <c r="F6" s="13"/>
      <c r="G6" s="1"/>
      <c r="H6" s="1"/>
    </row>
    <row r="7">
      <c r="A7" s="15"/>
      <c r="B7" s="16" t="s">
        <v>46</v>
      </c>
      <c r="C7" s="12"/>
      <c r="D7" s="12"/>
      <c r="E7" s="12"/>
      <c r="F7" s="13"/>
      <c r="G7" s="1"/>
      <c r="H7" s="1"/>
    </row>
    <row r="8">
      <c r="B8" s="17" t="s">
        <v>47</v>
      </c>
      <c r="C8" s="17" t="s">
        <v>48</v>
      </c>
      <c r="D8" s="17" t="s">
        <v>49</v>
      </c>
      <c r="E8" s="17" t="s">
        <v>50</v>
      </c>
      <c r="F8" s="17" t="s">
        <v>51</v>
      </c>
      <c r="G8" s="16" t="s">
        <v>52</v>
      </c>
      <c r="H8" s="13"/>
      <c r="L8" s="28">
        <v>46174.0</v>
      </c>
    </row>
    <row r="9">
      <c r="B9" s="18">
        <v>0.0</v>
      </c>
      <c r="C9" s="18">
        <v>0.0</v>
      </c>
      <c r="D9" s="18">
        <v>0.0</v>
      </c>
      <c r="E9" s="18">
        <v>0.0</v>
      </c>
      <c r="F9" s="18">
        <v>0.0</v>
      </c>
      <c r="G9" s="19">
        <f>sum(B9:F9)</f>
        <v>0</v>
      </c>
      <c r="H9" s="13"/>
      <c r="L9" s="28">
        <v>46175.0</v>
      </c>
    </row>
    <row r="10">
      <c r="A10" s="20" t="s">
        <v>73</v>
      </c>
      <c r="B10" s="21" t="s">
        <v>54</v>
      </c>
      <c r="C10" s="12"/>
      <c r="D10" s="12"/>
      <c r="E10" s="12"/>
      <c r="F10" s="13"/>
      <c r="G10" s="22"/>
      <c r="H10" s="22"/>
      <c r="L10" s="28">
        <v>46176.0</v>
      </c>
    </row>
    <row r="11">
      <c r="A11" s="15"/>
      <c r="B11" s="23" t="s">
        <v>55</v>
      </c>
      <c r="C11" s="23" t="s">
        <v>48</v>
      </c>
      <c r="D11" s="23" t="s">
        <v>49</v>
      </c>
      <c r="E11" s="24" t="s">
        <v>50</v>
      </c>
      <c r="F11" s="24" t="s">
        <v>51</v>
      </c>
      <c r="G11" s="21" t="s">
        <v>56</v>
      </c>
      <c r="H11" s="13"/>
      <c r="L11" s="28">
        <v>46177.0</v>
      </c>
    </row>
    <row r="12">
      <c r="B12" s="25">
        <f>N24</f>
        <v>0</v>
      </c>
      <c r="C12" s="25">
        <f>N34</f>
        <v>0</v>
      </c>
      <c r="D12" s="25">
        <f>N43</f>
        <v>0</v>
      </c>
      <c r="E12" s="25">
        <f>N53</f>
        <v>0</v>
      </c>
      <c r="F12" s="25">
        <f>N62</f>
        <v>0</v>
      </c>
      <c r="G12" s="26">
        <f>sum(B12:F12)</f>
        <v>0</v>
      </c>
      <c r="H12" s="13"/>
      <c r="L12" s="28">
        <v>46178.0</v>
      </c>
    </row>
    <row r="13">
      <c r="B13" s="27">
        <f t="shared" ref="B13:F13" si="1">B12/12</f>
        <v>0</v>
      </c>
      <c r="C13" s="27">
        <f t="shared" si="1"/>
        <v>0</v>
      </c>
      <c r="D13" s="27">
        <f t="shared" si="1"/>
        <v>0</v>
      </c>
      <c r="E13" s="27">
        <f t="shared" si="1"/>
        <v>0</v>
      </c>
      <c r="F13" s="27">
        <f t="shared" si="1"/>
        <v>0</v>
      </c>
      <c r="G13" s="22"/>
      <c r="H13" s="22"/>
    </row>
    <row r="14">
      <c r="A14" s="29" t="s">
        <v>57</v>
      </c>
      <c r="B14" s="29" t="s">
        <v>58</v>
      </c>
      <c r="C14" s="22"/>
      <c r="D14" s="22"/>
      <c r="E14" s="22"/>
      <c r="F14" s="22"/>
      <c r="G14" s="22"/>
    </row>
    <row r="15">
      <c r="A15" s="30">
        <v>60.0</v>
      </c>
      <c r="B15" s="31">
        <f>A18/A15</f>
        <v>0</v>
      </c>
      <c r="C15" s="1"/>
      <c r="D15" s="1"/>
      <c r="E15" s="1"/>
      <c r="F15" s="1"/>
      <c r="G15" s="22"/>
    </row>
    <row r="17">
      <c r="A17" s="32" t="s">
        <v>59</v>
      </c>
    </row>
    <row r="18">
      <c r="A18" s="32">
        <f>G12</f>
        <v>0</v>
      </c>
    </row>
    <row r="21">
      <c r="B21" s="33" t="s">
        <v>60</v>
      </c>
      <c r="C21" s="34" t="s">
        <v>10</v>
      </c>
      <c r="D21" s="48" t="s">
        <v>17</v>
      </c>
      <c r="E21" s="49" t="s">
        <v>18</v>
      </c>
      <c r="F21" s="50" t="s">
        <v>74</v>
      </c>
      <c r="G21" s="50" t="s">
        <v>75</v>
      </c>
      <c r="H21" s="50" t="s">
        <v>76</v>
      </c>
      <c r="I21" s="50" t="s">
        <v>24</v>
      </c>
      <c r="J21" s="50" t="s">
        <v>77</v>
      </c>
      <c r="K21" s="50" t="s">
        <v>78</v>
      </c>
      <c r="L21" s="50" t="s">
        <v>79</v>
      </c>
    </row>
    <row r="22">
      <c r="B22" s="36" t="s">
        <v>61</v>
      </c>
      <c r="C22" s="37" t="s">
        <v>61</v>
      </c>
      <c r="D22" s="51" t="s">
        <v>61</v>
      </c>
      <c r="E22" s="52" t="s">
        <v>61</v>
      </c>
      <c r="F22" s="53" t="s">
        <v>61</v>
      </c>
      <c r="G22" s="53" t="s">
        <v>61</v>
      </c>
      <c r="H22" s="53" t="s">
        <v>61</v>
      </c>
      <c r="I22" s="53" t="s">
        <v>61</v>
      </c>
      <c r="J22" s="53" t="s">
        <v>61</v>
      </c>
      <c r="K22" s="53" t="s">
        <v>61</v>
      </c>
      <c r="L22" s="53" t="s">
        <v>61</v>
      </c>
    </row>
    <row r="23">
      <c r="A23" s="28">
        <f>L8</f>
        <v>46174</v>
      </c>
      <c r="B23" s="38">
        <v>0.0</v>
      </c>
      <c r="C23" s="39">
        <v>0.0</v>
      </c>
      <c r="D23" s="54">
        <v>0.0</v>
      </c>
      <c r="E23" s="55">
        <v>0.0</v>
      </c>
      <c r="F23" s="56">
        <v>0.0</v>
      </c>
      <c r="G23" s="56">
        <v>0.0</v>
      </c>
      <c r="H23" s="56">
        <v>0.0</v>
      </c>
      <c r="I23" s="56">
        <v>0.0</v>
      </c>
      <c r="J23" s="56">
        <v>0.0</v>
      </c>
      <c r="K23" s="56">
        <v>0.0</v>
      </c>
      <c r="L23" s="56">
        <v>0.0</v>
      </c>
      <c r="N23" s="41" t="s">
        <v>63</v>
      </c>
      <c r="O23" s="32" t="s">
        <v>64</v>
      </c>
    </row>
    <row r="24">
      <c r="A24" s="32" t="s">
        <v>62</v>
      </c>
      <c r="B24" s="32">
        <v>5.0</v>
      </c>
      <c r="C24" s="32">
        <v>1.0</v>
      </c>
      <c r="D24" s="32">
        <v>5.0</v>
      </c>
      <c r="E24" s="32">
        <v>1.0</v>
      </c>
      <c r="F24" s="32">
        <v>5.0</v>
      </c>
      <c r="G24" s="32">
        <v>5.0</v>
      </c>
      <c r="H24" s="32">
        <v>5.0</v>
      </c>
      <c r="I24" s="32">
        <v>0.0</v>
      </c>
      <c r="J24" s="32">
        <v>1.0</v>
      </c>
      <c r="K24" s="32">
        <v>0.0</v>
      </c>
      <c r="L24" s="32">
        <v>0.0</v>
      </c>
      <c r="N24" s="29">
        <f>B26+C26+D26+E26+F26+G26+H26+I26+J26+K26+L26</f>
        <v>0</v>
      </c>
      <c r="O24" s="32">
        <f>sum(B26,C26,D26,E26,F26)</f>
        <v>0</v>
      </c>
    </row>
    <row r="25">
      <c r="A25" s="32" t="s">
        <v>65</v>
      </c>
      <c r="B25" s="32">
        <f t="shared" ref="B25:L25" si="2">B23*B24</f>
        <v>0</v>
      </c>
      <c r="C25" s="32">
        <f t="shared" si="2"/>
        <v>0</v>
      </c>
      <c r="D25" s="32">
        <f t="shared" si="2"/>
        <v>0</v>
      </c>
      <c r="E25" s="32">
        <f t="shared" si="2"/>
        <v>0</v>
      </c>
      <c r="F25" s="32">
        <f t="shared" si="2"/>
        <v>0</v>
      </c>
      <c r="G25" s="32">
        <f t="shared" si="2"/>
        <v>0</v>
      </c>
      <c r="H25" s="32">
        <f t="shared" si="2"/>
        <v>0</v>
      </c>
      <c r="I25" s="32">
        <f t="shared" si="2"/>
        <v>0</v>
      </c>
      <c r="J25" s="32">
        <f t="shared" si="2"/>
        <v>0</v>
      </c>
      <c r="K25" s="32">
        <f t="shared" si="2"/>
        <v>0</v>
      </c>
      <c r="L25" s="32">
        <f t="shared" si="2"/>
        <v>0</v>
      </c>
    </row>
    <row r="26">
      <c r="A26" s="32" t="s">
        <v>66</v>
      </c>
      <c r="B26" s="45">
        <f t="shared" ref="B26:L26" si="3">B25</f>
        <v>0</v>
      </c>
      <c r="C26" s="45">
        <f t="shared" si="3"/>
        <v>0</v>
      </c>
      <c r="D26" s="45">
        <f t="shared" si="3"/>
        <v>0</v>
      </c>
      <c r="E26" s="45">
        <f t="shared" si="3"/>
        <v>0</v>
      </c>
      <c r="F26" s="45">
        <f t="shared" si="3"/>
        <v>0</v>
      </c>
      <c r="G26" s="45">
        <f t="shared" si="3"/>
        <v>0</v>
      </c>
      <c r="H26" s="45">
        <f t="shared" si="3"/>
        <v>0</v>
      </c>
      <c r="I26" s="45">
        <f t="shared" si="3"/>
        <v>0</v>
      </c>
      <c r="J26" s="45">
        <f t="shared" si="3"/>
        <v>0</v>
      </c>
      <c r="K26" s="45">
        <f t="shared" si="3"/>
        <v>0</v>
      </c>
      <c r="L26" s="45">
        <f t="shared" si="3"/>
        <v>0</v>
      </c>
    </row>
    <row r="31">
      <c r="B31" s="33" t="s">
        <v>60</v>
      </c>
      <c r="C31" s="34" t="s">
        <v>10</v>
      </c>
      <c r="D31" s="48" t="s">
        <v>17</v>
      </c>
      <c r="E31" s="49" t="s">
        <v>18</v>
      </c>
      <c r="F31" s="50" t="s">
        <v>74</v>
      </c>
      <c r="G31" s="50" t="s">
        <v>75</v>
      </c>
      <c r="H31" s="50" t="s">
        <v>76</v>
      </c>
      <c r="I31" s="50" t="s">
        <v>24</v>
      </c>
      <c r="J31" s="50" t="s">
        <v>77</v>
      </c>
      <c r="K31" s="50" t="s">
        <v>78</v>
      </c>
      <c r="L31" s="50" t="s">
        <v>79</v>
      </c>
    </row>
    <row r="32">
      <c r="B32" s="36" t="s">
        <v>61</v>
      </c>
      <c r="C32" s="37" t="s">
        <v>61</v>
      </c>
      <c r="D32" s="51" t="s">
        <v>61</v>
      </c>
      <c r="E32" s="52" t="s">
        <v>61</v>
      </c>
      <c r="F32" s="53" t="s">
        <v>61</v>
      </c>
      <c r="G32" s="53" t="s">
        <v>61</v>
      </c>
      <c r="H32" s="53" t="s">
        <v>61</v>
      </c>
      <c r="I32" s="53" t="s">
        <v>61</v>
      </c>
      <c r="J32" s="53" t="s">
        <v>61</v>
      </c>
      <c r="K32" s="53" t="s">
        <v>61</v>
      </c>
      <c r="L32" s="53" t="s">
        <v>61</v>
      </c>
    </row>
    <row r="33">
      <c r="A33" s="28">
        <f>L9</f>
        <v>46175</v>
      </c>
      <c r="B33" s="38">
        <v>0.0</v>
      </c>
      <c r="C33" s="39">
        <v>0.0</v>
      </c>
      <c r="D33" s="54">
        <v>0.0</v>
      </c>
      <c r="E33" s="55">
        <v>0.0</v>
      </c>
      <c r="F33" s="56">
        <v>0.0</v>
      </c>
      <c r="G33" s="56">
        <v>0.0</v>
      </c>
      <c r="H33" s="56">
        <v>0.0</v>
      </c>
      <c r="I33" s="56">
        <v>0.0</v>
      </c>
      <c r="J33" s="56">
        <v>0.0</v>
      </c>
      <c r="K33" s="56">
        <v>0.0</v>
      </c>
      <c r="L33" s="56">
        <v>0.0</v>
      </c>
      <c r="N33" s="41" t="s">
        <v>63</v>
      </c>
      <c r="O33" s="32" t="s">
        <v>64</v>
      </c>
    </row>
    <row r="34">
      <c r="A34" s="32" t="s">
        <v>62</v>
      </c>
      <c r="B34" s="32">
        <v>5.0</v>
      </c>
      <c r="C34" s="32">
        <v>1.0</v>
      </c>
      <c r="D34" s="32">
        <v>5.0</v>
      </c>
      <c r="E34" s="32">
        <v>1.0</v>
      </c>
      <c r="F34" s="32">
        <v>5.0</v>
      </c>
      <c r="G34" s="32">
        <v>5.0</v>
      </c>
      <c r="H34" s="32">
        <v>5.0</v>
      </c>
      <c r="I34" s="32">
        <v>0.0</v>
      </c>
      <c r="J34" s="32">
        <v>1.0</v>
      </c>
      <c r="K34" s="32">
        <v>0.0</v>
      </c>
      <c r="L34" s="32">
        <v>0.0</v>
      </c>
      <c r="N34" s="29">
        <f>B36+C36+D36+E36+F36+G36+H36+I36+J36+K36+L36</f>
        <v>0</v>
      </c>
      <c r="O34" s="32">
        <f>sum(B36,C36,D36,E36,F36)</f>
        <v>0</v>
      </c>
    </row>
    <row r="35">
      <c r="A35" s="32" t="s">
        <v>65</v>
      </c>
      <c r="B35" s="32">
        <f t="shared" ref="B35:L35" si="4">B33*B34</f>
        <v>0</v>
      </c>
      <c r="C35" s="32">
        <f t="shared" si="4"/>
        <v>0</v>
      </c>
      <c r="D35" s="32">
        <f t="shared" si="4"/>
        <v>0</v>
      </c>
      <c r="E35" s="32">
        <f t="shared" si="4"/>
        <v>0</v>
      </c>
      <c r="F35" s="32">
        <f t="shared" si="4"/>
        <v>0</v>
      </c>
      <c r="G35" s="32">
        <f t="shared" si="4"/>
        <v>0</v>
      </c>
      <c r="H35" s="32">
        <f t="shared" si="4"/>
        <v>0</v>
      </c>
      <c r="I35" s="32">
        <f t="shared" si="4"/>
        <v>0</v>
      </c>
      <c r="J35" s="32">
        <f t="shared" si="4"/>
        <v>0</v>
      </c>
      <c r="K35" s="32">
        <f t="shared" si="4"/>
        <v>0</v>
      </c>
      <c r="L35" s="32">
        <f t="shared" si="4"/>
        <v>0</v>
      </c>
    </row>
    <row r="36">
      <c r="A36" s="32" t="s">
        <v>66</v>
      </c>
      <c r="B36" s="45">
        <f t="shared" ref="B36:L36" si="5">B35</f>
        <v>0</v>
      </c>
      <c r="C36" s="45">
        <f t="shared" si="5"/>
        <v>0</v>
      </c>
      <c r="D36" s="45">
        <f t="shared" si="5"/>
        <v>0</v>
      </c>
      <c r="E36" s="45">
        <f t="shared" si="5"/>
        <v>0</v>
      </c>
      <c r="F36" s="45">
        <f t="shared" si="5"/>
        <v>0</v>
      </c>
      <c r="G36" s="45">
        <f t="shared" si="5"/>
        <v>0</v>
      </c>
      <c r="H36" s="45">
        <f t="shared" si="5"/>
        <v>0</v>
      </c>
      <c r="I36" s="45">
        <f t="shared" si="5"/>
        <v>0</v>
      </c>
      <c r="J36" s="45">
        <f t="shared" si="5"/>
        <v>0</v>
      </c>
      <c r="K36" s="45">
        <f t="shared" si="5"/>
        <v>0</v>
      </c>
      <c r="L36" s="45">
        <f t="shared" si="5"/>
        <v>0</v>
      </c>
    </row>
    <row r="40">
      <c r="B40" s="33" t="s">
        <v>60</v>
      </c>
      <c r="C40" s="34" t="s">
        <v>10</v>
      </c>
      <c r="D40" s="48" t="s">
        <v>17</v>
      </c>
      <c r="E40" s="49" t="s">
        <v>18</v>
      </c>
      <c r="F40" s="50" t="s">
        <v>74</v>
      </c>
      <c r="G40" s="50" t="s">
        <v>75</v>
      </c>
      <c r="H40" s="50" t="s">
        <v>76</v>
      </c>
      <c r="I40" s="50" t="s">
        <v>24</v>
      </c>
      <c r="J40" s="50" t="s">
        <v>77</v>
      </c>
      <c r="K40" s="50" t="s">
        <v>78</v>
      </c>
      <c r="L40" s="50" t="s">
        <v>79</v>
      </c>
    </row>
    <row r="41">
      <c r="B41" s="36" t="s">
        <v>61</v>
      </c>
      <c r="C41" s="37" t="s">
        <v>61</v>
      </c>
      <c r="D41" s="51" t="s">
        <v>61</v>
      </c>
      <c r="E41" s="52" t="s">
        <v>61</v>
      </c>
      <c r="F41" s="53" t="s">
        <v>61</v>
      </c>
      <c r="G41" s="53" t="s">
        <v>61</v>
      </c>
      <c r="H41" s="53" t="s">
        <v>61</v>
      </c>
      <c r="I41" s="53" t="s">
        <v>61</v>
      </c>
      <c r="J41" s="53" t="s">
        <v>61</v>
      </c>
      <c r="K41" s="53" t="s">
        <v>61</v>
      </c>
      <c r="L41" s="53" t="s">
        <v>61</v>
      </c>
    </row>
    <row r="42">
      <c r="A42" s="28">
        <f>L10</f>
        <v>46176</v>
      </c>
      <c r="B42" s="38">
        <v>0.0</v>
      </c>
      <c r="C42" s="39">
        <v>0.0</v>
      </c>
      <c r="D42" s="54">
        <v>0.0</v>
      </c>
      <c r="E42" s="55">
        <v>0.0</v>
      </c>
      <c r="F42" s="56">
        <v>0.0</v>
      </c>
      <c r="G42" s="56">
        <v>0.0</v>
      </c>
      <c r="H42" s="56">
        <v>0.0</v>
      </c>
      <c r="I42" s="56">
        <v>0.0</v>
      </c>
      <c r="J42" s="56">
        <v>0.0</v>
      </c>
      <c r="K42" s="56">
        <v>0.0</v>
      </c>
      <c r="L42" s="56">
        <v>0.0</v>
      </c>
      <c r="N42" s="41" t="s">
        <v>63</v>
      </c>
      <c r="O42" s="32" t="s">
        <v>64</v>
      </c>
    </row>
    <row r="43">
      <c r="A43" s="32" t="s">
        <v>62</v>
      </c>
      <c r="B43" s="32">
        <v>5.0</v>
      </c>
      <c r="C43" s="32">
        <v>1.0</v>
      </c>
      <c r="D43" s="32">
        <v>5.0</v>
      </c>
      <c r="E43" s="32">
        <v>1.0</v>
      </c>
      <c r="F43" s="32">
        <v>5.0</v>
      </c>
      <c r="G43" s="32">
        <v>5.0</v>
      </c>
      <c r="H43" s="32">
        <v>5.0</v>
      </c>
      <c r="I43" s="32">
        <v>0.0</v>
      </c>
      <c r="J43" s="32">
        <v>1.0</v>
      </c>
      <c r="K43" s="32">
        <v>0.0</v>
      </c>
      <c r="L43" s="32">
        <v>0.0</v>
      </c>
      <c r="N43" s="29">
        <f>B45+C45+D45+E45+F45+G45+H45+I45+J45+K45+L45</f>
        <v>0</v>
      </c>
      <c r="O43" s="32">
        <f>sum(B45,C45,D45,E45,F45)</f>
        <v>0</v>
      </c>
    </row>
    <row r="44">
      <c r="A44" s="32" t="s">
        <v>65</v>
      </c>
      <c r="B44" s="32">
        <f t="shared" ref="B44:L44" si="6">B42*B43</f>
        <v>0</v>
      </c>
      <c r="C44" s="32">
        <f t="shared" si="6"/>
        <v>0</v>
      </c>
      <c r="D44" s="32">
        <f t="shared" si="6"/>
        <v>0</v>
      </c>
      <c r="E44" s="32">
        <f t="shared" si="6"/>
        <v>0</v>
      </c>
      <c r="F44" s="32">
        <f t="shared" si="6"/>
        <v>0</v>
      </c>
      <c r="G44" s="32">
        <f t="shared" si="6"/>
        <v>0</v>
      </c>
      <c r="H44" s="32">
        <f t="shared" si="6"/>
        <v>0</v>
      </c>
      <c r="I44" s="32">
        <f t="shared" si="6"/>
        <v>0</v>
      </c>
      <c r="J44" s="32">
        <f t="shared" si="6"/>
        <v>0</v>
      </c>
      <c r="K44" s="32">
        <f t="shared" si="6"/>
        <v>0</v>
      </c>
      <c r="L44" s="32">
        <f t="shared" si="6"/>
        <v>0</v>
      </c>
    </row>
    <row r="45">
      <c r="A45" s="32" t="s">
        <v>66</v>
      </c>
      <c r="B45" s="45">
        <f t="shared" ref="B45:L45" si="7">B44</f>
        <v>0</v>
      </c>
      <c r="C45" s="45">
        <f t="shared" si="7"/>
        <v>0</v>
      </c>
      <c r="D45" s="45">
        <f t="shared" si="7"/>
        <v>0</v>
      </c>
      <c r="E45" s="45">
        <f t="shared" si="7"/>
        <v>0</v>
      </c>
      <c r="F45" s="45">
        <f t="shared" si="7"/>
        <v>0</v>
      </c>
      <c r="G45" s="45">
        <f t="shared" si="7"/>
        <v>0</v>
      </c>
      <c r="H45" s="45">
        <f t="shared" si="7"/>
        <v>0</v>
      </c>
      <c r="I45" s="45">
        <f t="shared" si="7"/>
        <v>0</v>
      </c>
      <c r="J45" s="45">
        <f t="shared" si="7"/>
        <v>0</v>
      </c>
      <c r="K45" s="45">
        <f t="shared" si="7"/>
        <v>0</v>
      </c>
      <c r="L45" s="45">
        <f t="shared" si="7"/>
        <v>0</v>
      </c>
    </row>
    <row r="50">
      <c r="B50" s="33" t="s">
        <v>60</v>
      </c>
      <c r="C50" s="34" t="s">
        <v>10</v>
      </c>
      <c r="D50" s="48" t="s">
        <v>17</v>
      </c>
      <c r="E50" s="49" t="s">
        <v>18</v>
      </c>
      <c r="F50" s="50" t="s">
        <v>74</v>
      </c>
      <c r="G50" s="50" t="s">
        <v>75</v>
      </c>
      <c r="H50" s="50" t="s">
        <v>76</v>
      </c>
      <c r="I50" s="50" t="s">
        <v>24</v>
      </c>
      <c r="J50" s="50" t="s">
        <v>77</v>
      </c>
      <c r="K50" s="50" t="s">
        <v>78</v>
      </c>
      <c r="L50" s="50" t="s">
        <v>79</v>
      </c>
    </row>
    <row r="51">
      <c r="B51" s="36" t="s">
        <v>61</v>
      </c>
      <c r="C51" s="37" t="s">
        <v>61</v>
      </c>
      <c r="D51" s="51" t="s">
        <v>61</v>
      </c>
      <c r="E51" s="52" t="s">
        <v>61</v>
      </c>
      <c r="F51" s="53" t="s">
        <v>61</v>
      </c>
      <c r="G51" s="53" t="s">
        <v>61</v>
      </c>
      <c r="H51" s="53" t="s">
        <v>61</v>
      </c>
      <c r="I51" s="53" t="s">
        <v>61</v>
      </c>
      <c r="J51" s="53" t="s">
        <v>61</v>
      </c>
      <c r="K51" s="53" t="s">
        <v>61</v>
      </c>
      <c r="L51" s="53" t="s">
        <v>61</v>
      </c>
    </row>
    <row r="52">
      <c r="A52" s="28">
        <f>L11</f>
        <v>46177</v>
      </c>
      <c r="B52" s="38">
        <v>0.0</v>
      </c>
      <c r="C52" s="39">
        <v>0.0</v>
      </c>
      <c r="D52" s="54">
        <v>0.0</v>
      </c>
      <c r="E52" s="55">
        <v>0.0</v>
      </c>
      <c r="F52" s="56">
        <v>0.0</v>
      </c>
      <c r="G52" s="56">
        <v>0.0</v>
      </c>
      <c r="H52" s="56">
        <v>0.0</v>
      </c>
      <c r="I52" s="56">
        <v>0.0</v>
      </c>
      <c r="J52" s="56">
        <v>0.0</v>
      </c>
      <c r="K52" s="56">
        <v>0.0</v>
      </c>
      <c r="L52" s="56">
        <v>0.0</v>
      </c>
      <c r="N52" s="41" t="s">
        <v>63</v>
      </c>
      <c r="O52" s="32" t="s">
        <v>64</v>
      </c>
    </row>
    <row r="53">
      <c r="A53" s="32" t="s">
        <v>62</v>
      </c>
      <c r="B53" s="32">
        <v>5.0</v>
      </c>
      <c r="C53" s="32">
        <v>1.0</v>
      </c>
      <c r="D53" s="32">
        <v>5.0</v>
      </c>
      <c r="E53" s="32">
        <v>1.0</v>
      </c>
      <c r="F53" s="32">
        <v>5.0</v>
      </c>
      <c r="G53" s="32">
        <v>5.0</v>
      </c>
      <c r="H53" s="32">
        <v>5.0</v>
      </c>
      <c r="I53" s="32">
        <v>0.0</v>
      </c>
      <c r="J53" s="32">
        <v>1.0</v>
      </c>
      <c r="K53" s="32">
        <v>0.0</v>
      </c>
      <c r="L53" s="32">
        <v>0.0</v>
      </c>
      <c r="N53" s="29">
        <f>B55+C55+D55+E55+F55+G55+H55+I55+J55+K55+L55</f>
        <v>0</v>
      </c>
      <c r="O53" s="32">
        <f>sum(B55,C55,D55,E55,F55)</f>
        <v>0</v>
      </c>
    </row>
    <row r="54">
      <c r="A54" s="32" t="s">
        <v>65</v>
      </c>
      <c r="B54" s="32">
        <f t="shared" ref="B54:L54" si="8">B52*B53</f>
        <v>0</v>
      </c>
      <c r="C54" s="32">
        <f t="shared" si="8"/>
        <v>0</v>
      </c>
      <c r="D54" s="32">
        <f t="shared" si="8"/>
        <v>0</v>
      </c>
      <c r="E54" s="32">
        <f t="shared" si="8"/>
        <v>0</v>
      </c>
      <c r="F54" s="32">
        <f t="shared" si="8"/>
        <v>0</v>
      </c>
      <c r="G54" s="32">
        <f t="shared" si="8"/>
        <v>0</v>
      </c>
      <c r="H54" s="32">
        <f t="shared" si="8"/>
        <v>0</v>
      </c>
      <c r="I54" s="32">
        <f t="shared" si="8"/>
        <v>0</v>
      </c>
      <c r="J54" s="32">
        <f t="shared" si="8"/>
        <v>0</v>
      </c>
      <c r="K54" s="32">
        <f t="shared" si="8"/>
        <v>0</v>
      </c>
      <c r="L54" s="32">
        <f t="shared" si="8"/>
        <v>0</v>
      </c>
    </row>
    <row r="55">
      <c r="A55" s="32" t="s">
        <v>66</v>
      </c>
      <c r="B55" s="45">
        <f t="shared" ref="B55:L55" si="9">B54</f>
        <v>0</v>
      </c>
      <c r="C55" s="45">
        <f t="shared" si="9"/>
        <v>0</v>
      </c>
      <c r="D55" s="45">
        <f t="shared" si="9"/>
        <v>0</v>
      </c>
      <c r="E55" s="45">
        <f t="shared" si="9"/>
        <v>0</v>
      </c>
      <c r="F55" s="45">
        <f t="shared" si="9"/>
        <v>0</v>
      </c>
      <c r="G55" s="45">
        <f t="shared" si="9"/>
        <v>0</v>
      </c>
      <c r="H55" s="45">
        <f t="shared" si="9"/>
        <v>0</v>
      </c>
      <c r="I55" s="45">
        <f t="shared" si="9"/>
        <v>0</v>
      </c>
      <c r="J55" s="45">
        <f t="shared" si="9"/>
        <v>0</v>
      </c>
      <c r="K55" s="45">
        <f t="shared" si="9"/>
        <v>0</v>
      </c>
      <c r="L55" s="45">
        <f t="shared" si="9"/>
        <v>0</v>
      </c>
    </row>
    <row r="59">
      <c r="B59" s="33" t="s">
        <v>60</v>
      </c>
      <c r="C59" s="34" t="s">
        <v>10</v>
      </c>
      <c r="D59" s="48" t="s">
        <v>17</v>
      </c>
      <c r="E59" s="49" t="s">
        <v>18</v>
      </c>
      <c r="F59" s="50" t="s">
        <v>74</v>
      </c>
      <c r="G59" s="50" t="s">
        <v>75</v>
      </c>
      <c r="H59" s="50" t="s">
        <v>76</v>
      </c>
      <c r="I59" s="50" t="s">
        <v>24</v>
      </c>
      <c r="J59" s="50" t="s">
        <v>77</v>
      </c>
      <c r="K59" s="50" t="s">
        <v>78</v>
      </c>
      <c r="L59" s="50" t="s">
        <v>79</v>
      </c>
    </row>
    <row r="60">
      <c r="B60" s="36" t="s">
        <v>61</v>
      </c>
      <c r="C60" s="37" t="s">
        <v>61</v>
      </c>
      <c r="D60" s="51" t="s">
        <v>61</v>
      </c>
      <c r="E60" s="52" t="s">
        <v>61</v>
      </c>
      <c r="F60" s="53" t="s">
        <v>61</v>
      </c>
      <c r="G60" s="53" t="s">
        <v>61</v>
      </c>
      <c r="H60" s="53" t="s">
        <v>61</v>
      </c>
      <c r="I60" s="53" t="s">
        <v>61</v>
      </c>
      <c r="J60" s="53" t="s">
        <v>61</v>
      </c>
      <c r="K60" s="53" t="s">
        <v>61</v>
      </c>
      <c r="L60" s="53" t="s">
        <v>61</v>
      </c>
    </row>
    <row r="61">
      <c r="A61" s="28">
        <f>L12</f>
        <v>46178</v>
      </c>
      <c r="B61" s="38">
        <v>0.0</v>
      </c>
      <c r="C61" s="39">
        <v>0.0</v>
      </c>
      <c r="D61" s="54">
        <v>0.0</v>
      </c>
      <c r="E61" s="55">
        <v>0.0</v>
      </c>
      <c r="F61" s="56">
        <v>0.0</v>
      </c>
      <c r="G61" s="56">
        <v>0.0</v>
      </c>
      <c r="H61" s="56">
        <v>0.0</v>
      </c>
      <c r="I61" s="56">
        <v>0.0</v>
      </c>
      <c r="J61" s="56">
        <v>0.0</v>
      </c>
      <c r="K61" s="56">
        <v>0.0</v>
      </c>
      <c r="L61" s="56">
        <v>0.0</v>
      </c>
      <c r="N61" s="41" t="s">
        <v>63</v>
      </c>
      <c r="O61" s="32" t="s">
        <v>64</v>
      </c>
    </row>
    <row r="62">
      <c r="A62" s="32" t="s">
        <v>62</v>
      </c>
      <c r="B62" s="32">
        <v>5.0</v>
      </c>
      <c r="C62" s="32">
        <v>1.0</v>
      </c>
      <c r="D62" s="32">
        <v>5.0</v>
      </c>
      <c r="E62" s="32">
        <v>1.0</v>
      </c>
      <c r="F62" s="32">
        <v>5.0</v>
      </c>
      <c r="G62" s="32">
        <v>5.0</v>
      </c>
      <c r="H62" s="32">
        <v>5.0</v>
      </c>
      <c r="I62" s="32">
        <v>0.0</v>
      </c>
      <c r="J62" s="32">
        <v>1.0</v>
      </c>
      <c r="K62" s="32">
        <v>0.0</v>
      </c>
      <c r="L62" s="32">
        <v>0.0</v>
      </c>
      <c r="N62" s="29">
        <f>B64+C64+D64+E64+F64+G64+H64+I64+J64+K64+L64</f>
        <v>0</v>
      </c>
      <c r="O62" s="32">
        <f>sum(B64,C64,D64,E64,F64)</f>
        <v>0</v>
      </c>
    </row>
    <row r="63">
      <c r="A63" s="32" t="s">
        <v>65</v>
      </c>
      <c r="B63" s="32">
        <f t="shared" ref="B63:L63" si="10">B61*B62</f>
        <v>0</v>
      </c>
      <c r="C63" s="32">
        <f t="shared" si="10"/>
        <v>0</v>
      </c>
      <c r="D63" s="32">
        <f t="shared" si="10"/>
        <v>0</v>
      </c>
      <c r="E63" s="32">
        <f t="shared" si="10"/>
        <v>0</v>
      </c>
      <c r="F63" s="32">
        <f t="shared" si="10"/>
        <v>0</v>
      </c>
      <c r="G63" s="32">
        <f t="shared" si="10"/>
        <v>0</v>
      </c>
      <c r="H63" s="32">
        <f t="shared" si="10"/>
        <v>0</v>
      </c>
      <c r="I63" s="32">
        <f t="shared" si="10"/>
        <v>0</v>
      </c>
      <c r="J63" s="32">
        <f t="shared" si="10"/>
        <v>0</v>
      </c>
      <c r="K63" s="32">
        <f t="shared" si="10"/>
        <v>0</v>
      </c>
      <c r="L63" s="32">
        <f t="shared" si="10"/>
        <v>0</v>
      </c>
    </row>
    <row r="64">
      <c r="A64" s="32" t="s">
        <v>66</v>
      </c>
      <c r="B64" s="45">
        <f t="shared" ref="B64:L64" si="11">B63</f>
        <v>0</v>
      </c>
      <c r="C64" s="45">
        <f t="shared" si="11"/>
        <v>0</v>
      </c>
      <c r="D64" s="45">
        <f t="shared" si="11"/>
        <v>0</v>
      </c>
      <c r="E64" s="45">
        <f t="shared" si="11"/>
        <v>0</v>
      </c>
      <c r="F64" s="45">
        <f t="shared" si="11"/>
        <v>0</v>
      </c>
      <c r="G64" s="45">
        <f t="shared" si="11"/>
        <v>0</v>
      </c>
      <c r="H64" s="45">
        <f t="shared" si="11"/>
        <v>0</v>
      </c>
      <c r="I64" s="45">
        <f t="shared" si="11"/>
        <v>0</v>
      </c>
      <c r="J64" s="45">
        <f t="shared" si="11"/>
        <v>0</v>
      </c>
      <c r="K64" s="45">
        <f t="shared" si="11"/>
        <v>0</v>
      </c>
      <c r="L64" s="45">
        <f t="shared" si="11"/>
        <v>0</v>
      </c>
    </row>
  </sheetData>
  <mergeCells count="10">
    <mergeCell ref="G9:H9"/>
    <mergeCell ref="G11:H11"/>
    <mergeCell ref="C3:E3"/>
    <mergeCell ref="A6:F6"/>
    <mergeCell ref="A7:A9"/>
    <mergeCell ref="B7:F7"/>
    <mergeCell ref="G8:H8"/>
    <mergeCell ref="B10:F10"/>
    <mergeCell ref="A11:A13"/>
    <mergeCell ref="G12:H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6" max="6" width="25.88"/>
  </cols>
  <sheetData>
    <row r="1">
      <c r="A1" s="10" t="s">
        <v>80</v>
      </c>
      <c r="B1" s="10"/>
    </row>
    <row r="2">
      <c r="B2" s="10"/>
    </row>
    <row r="4">
      <c r="B4" s="57" t="s">
        <v>81</v>
      </c>
      <c r="C4" s="13"/>
      <c r="D4" s="58" t="s">
        <v>10</v>
      </c>
      <c r="E4" s="13"/>
      <c r="F4" s="50" t="s">
        <v>82</v>
      </c>
    </row>
    <row r="5">
      <c r="B5" s="36" t="s">
        <v>83</v>
      </c>
      <c r="C5" s="36" t="s">
        <v>61</v>
      </c>
      <c r="D5" s="37" t="s">
        <v>83</v>
      </c>
      <c r="E5" s="37" t="s">
        <v>61</v>
      </c>
      <c r="F5" s="53" t="s">
        <v>84</v>
      </c>
    </row>
    <row r="6">
      <c r="A6" s="59" t="s">
        <v>85</v>
      </c>
      <c r="B6" s="38">
        <v>0.0</v>
      </c>
      <c r="C6" s="38">
        <v>0.0</v>
      </c>
      <c r="D6" s="39">
        <v>0.0</v>
      </c>
      <c r="E6" s="39">
        <v>0.0</v>
      </c>
      <c r="F6" s="56">
        <v>0.0</v>
      </c>
    </row>
    <row r="7">
      <c r="A7" s="32" t="s">
        <v>65</v>
      </c>
      <c r="B7" s="32">
        <f>B6</f>
        <v>0</v>
      </c>
      <c r="C7" s="32">
        <f>C6*2</f>
        <v>0</v>
      </c>
      <c r="D7" s="45">
        <f>D6/2</f>
        <v>0</v>
      </c>
      <c r="E7" s="45">
        <f>E6</f>
        <v>0</v>
      </c>
      <c r="F7" s="45">
        <f>F6/5</f>
        <v>0</v>
      </c>
      <c r="G7" s="29" t="s">
        <v>86</v>
      </c>
      <c r="H7" s="43" t="s">
        <v>58</v>
      </c>
    </row>
    <row r="8">
      <c r="A8" s="32" t="s">
        <v>66</v>
      </c>
      <c r="B8" s="60">
        <f>B7+C7</f>
        <v>0</v>
      </c>
      <c r="C8" s="13"/>
      <c r="D8" s="60">
        <f>D7+E7</f>
        <v>0</v>
      </c>
      <c r="E8" s="13"/>
      <c r="F8" s="45">
        <f>F7</f>
        <v>0</v>
      </c>
      <c r="G8" s="43">
        <f>B8+D8+F8</f>
        <v>0</v>
      </c>
      <c r="H8" s="61" t="str">
        <f>G8/G9</f>
        <v>#REF!</v>
      </c>
    </row>
    <row r="9">
      <c r="A9" s="32" t="s">
        <v>87</v>
      </c>
      <c r="B9" s="62" t="str">
        <f>#REF!</f>
        <v>#REF!</v>
      </c>
      <c r="C9" s="12"/>
      <c r="D9" s="12"/>
      <c r="E9" s="12"/>
      <c r="F9" s="13"/>
      <c r="G9" s="44" t="str">
        <f>#REF!</f>
        <v>#REF!</v>
      </c>
    </row>
    <row r="18">
      <c r="B18" s="57" t="s">
        <v>81</v>
      </c>
      <c r="C18" s="13"/>
      <c r="D18" s="58" t="s">
        <v>10</v>
      </c>
      <c r="E18" s="13"/>
      <c r="F18" s="50" t="s">
        <v>82</v>
      </c>
    </row>
    <row r="19">
      <c r="B19" s="36" t="s">
        <v>83</v>
      </c>
      <c r="C19" s="36" t="s">
        <v>61</v>
      </c>
      <c r="D19" s="37" t="s">
        <v>83</v>
      </c>
      <c r="E19" s="37" t="s">
        <v>61</v>
      </c>
      <c r="F19" s="53" t="s">
        <v>84</v>
      </c>
    </row>
    <row r="20">
      <c r="A20" s="59" t="s">
        <v>88</v>
      </c>
      <c r="B20" s="38">
        <v>0.0</v>
      </c>
      <c r="C20" s="38">
        <v>0.0</v>
      </c>
      <c r="D20" s="39">
        <v>0.0</v>
      </c>
      <c r="E20" s="39">
        <v>0.0</v>
      </c>
      <c r="F20" s="56">
        <v>0.0</v>
      </c>
    </row>
    <row r="21">
      <c r="A21" s="32" t="s">
        <v>65</v>
      </c>
      <c r="B21" s="32">
        <f>B20</f>
        <v>0</v>
      </c>
      <c r="C21" s="32">
        <f>C20*2</f>
        <v>0</v>
      </c>
      <c r="D21" s="45">
        <f>D20/2</f>
        <v>0</v>
      </c>
      <c r="E21" s="45">
        <f>E20</f>
        <v>0</v>
      </c>
      <c r="F21" s="45">
        <f>F20/5</f>
        <v>0</v>
      </c>
      <c r="G21" s="29" t="s">
        <v>86</v>
      </c>
      <c r="H21" s="43" t="s">
        <v>58</v>
      </c>
    </row>
    <row r="22">
      <c r="A22" s="32" t="s">
        <v>66</v>
      </c>
      <c r="B22" s="60">
        <f>B21+C21</f>
        <v>0</v>
      </c>
      <c r="C22" s="13"/>
      <c r="D22" s="60">
        <f>D21+E21</f>
        <v>0</v>
      </c>
      <c r="E22" s="13"/>
      <c r="F22" s="45">
        <f>F21</f>
        <v>0</v>
      </c>
      <c r="G22" s="43">
        <f>B22+D22+F22</f>
        <v>0</v>
      </c>
      <c r="H22" s="61" t="str">
        <f>G22/G23</f>
        <v>#REF!</v>
      </c>
    </row>
    <row r="23">
      <c r="A23" s="32" t="s">
        <v>87</v>
      </c>
      <c r="B23" s="62" t="str">
        <f>#REF!</f>
        <v>#REF!</v>
      </c>
      <c r="C23" s="12"/>
      <c r="D23" s="12"/>
      <c r="E23" s="12"/>
      <c r="F23" s="13"/>
      <c r="G23" s="44" t="str">
        <f>#REF!</f>
        <v>#REF!</v>
      </c>
    </row>
    <row r="26">
      <c r="B26" s="57" t="s">
        <v>81</v>
      </c>
      <c r="C26" s="13"/>
      <c r="D26" s="58" t="s">
        <v>10</v>
      </c>
      <c r="E26" s="13"/>
      <c r="F26" s="50" t="s">
        <v>82</v>
      </c>
    </row>
    <row r="27">
      <c r="B27" s="36" t="s">
        <v>83</v>
      </c>
      <c r="C27" s="36" t="s">
        <v>61</v>
      </c>
      <c r="D27" s="37" t="s">
        <v>83</v>
      </c>
      <c r="E27" s="37" t="s">
        <v>61</v>
      </c>
      <c r="F27" s="53" t="s">
        <v>84</v>
      </c>
    </row>
    <row r="28">
      <c r="A28" s="59" t="s">
        <v>89</v>
      </c>
      <c r="B28" s="38">
        <v>0.0</v>
      </c>
      <c r="C28" s="38">
        <v>0.0</v>
      </c>
      <c r="D28" s="39">
        <v>0.0</v>
      </c>
      <c r="E28" s="39">
        <v>0.0</v>
      </c>
      <c r="F28" s="56">
        <v>0.0</v>
      </c>
    </row>
    <row r="29">
      <c r="A29" s="32" t="s">
        <v>65</v>
      </c>
      <c r="B29" s="32">
        <f>B28</f>
        <v>0</v>
      </c>
      <c r="C29" s="32">
        <f>C28*2</f>
        <v>0</v>
      </c>
      <c r="D29" s="45">
        <f>D28/2</f>
        <v>0</v>
      </c>
      <c r="E29" s="45">
        <f>E28</f>
        <v>0</v>
      </c>
      <c r="F29" s="45">
        <f>F28/5</f>
        <v>0</v>
      </c>
      <c r="G29" s="29" t="s">
        <v>86</v>
      </c>
      <c r="H29" s="43" t="s">
        <v>58</v>
      </c>
    </row>
    <row r="30">
      <c r="A30" s="32" t="s">
        <v>66</v>
      </c>
      <c r="B30" s="60">
        <f>B29+C29</f>
        <v>0</v>
      </c>
      <c r="C30" s="13"/>
      <c r="D30" s="60">
        <f>D29+E29</f>
        <v>0</v>
      </c>
      <c r="E30" s="13"/>
      <c r="F30" s="45">
        <f>F29</f>
        <v>0</v>
      </c>
      <c r="G30" s="43">
        <f>B30+D30+F30</f>
        <v>0</v>
      </c>
      <c r="H30" s="61" t="str">
        <f>G30/G31</f>
        <v>#REF!</v>
      </c>
    </row>
    <row r="31">
      <c r="A31" s="32" t="s">
        <v>87</v>
      </c>
      <c r="B31" s="62" t="str">
        <f>#REF!</f>
        <v>#REF!</v>
      </c>
      <c r="C31" s="12"/>
      <c r="D31" s="12"/>
      <c r="E31" s="12"/>
      <c r="F31" s="13"/>
      <c r="G31" s="44" t="str">
        <f>#REF!</f>
        <v>#REF!</v>
      </c>
    </row>
    <row r="34">
      <c r="B34" s="57" t="s">
        <v>81</v>
      </c>
      <c r="C34" s="13"/>
      <c r="D34" s="58" t="s">
        <v>10</v>
      </c>
      <c r="E34" s="13"/>
      <c r="F34" s="50" t="s">
        <v>82</v>
      </c>
    </row>
    <row r="35">
      <c r="B35" s="36" t="s">
        <v>83</v>
      </c>
      <c r="C35" s="36" t="s">
        <v>61</v>
      </c>
      <c r="D35" s="37" t="s">
        <v>83</v>
      </c>
      <c r="E35" s="37" t="s">
        <v>61</v>
      </c>
      <c r="F35" s="53" t="s">
        <v>84</v>
      </c>
    </row>
    <row r="36">
      <c r="A36" s="59" t="s">
        <v>90</v>
      </c>
      <c r="B36" s="38">
        <v>0.0</v>
      </c>
      <c r="C36" s="38">
        <v>0.0</v>
      </c>
      <c r="D36" s="39">
        <v>0.0</v>
      </c>
      <c r="E36" s="39">
        <v>0.0</v>
      </c>
      <c r="F36" s="56">
        <v>0.0</v>
      </c>
    </row>
    <row r="37">
      <c r="A37" s="32" t="s">
        <v>65</v>
      </c>
      <c r="B37" s="32">
        <f>B36</f>
        <v>0</v>
      </c>
      <c r="C37" s="32">
        <f>C36*2</f>
        <v>0</v>
      </c>
      <c r="D37" s="45">
        <f>D36/2</f>
        <v>0</v>
      </c>
      <c r="E37" s="45">
        <f>E36</f>
        <v>0</v>
      </c>
      <c r="F37" s="45">
        <f>F36/5</f>
        <v>0</v>
      </c>
      <c r="G37" s="29" t="s">
        <v>86</v>
      </c>
      <c r="H37" s="43" t="s">
        <v>58</v>
      </c>
    </row>
    <row r="38">
      <c r="A38" s="32" t="s">
        <v>66</v>
      </c>
      <c r="B38" s="60">
        <f>B37+C37</f>
        <v>0</v>
      </c>
      <c r="C38" s="13"/>
      <c r="D38" s="60">
        <f>D37+E37</f>
        <v>0</v>
      </c>
      <c r="E38" s="13"/>
      <c r="F38" s="45">
        <f>F37</f>
        <v>0</v>
      </c>
      <c r="G38" s="43">
        <f>B38+D38+F38</f>
        <v>0</v>
      </c>
      <c r="H38" s="61" t="str">
        <f>G38/G39</f>
        <v>#REF!</v>
      </c>
    </row>
    <row r="39">
      <c r="A39" s="32" t="s">
        <v>87</v>
      </c>
      <c r="B39" s="62" t="str">
        <f>#REF!</f>
        <v>#REF!</v>
      </c>
      <c r="C39" s="12"/>
      <c r="D39" s="12"/>
      <c r="E39" s="12"/>
      <c r="F39" s="13"/>
      <c r="G39" s="44" t="str">
        <f>#REF!</f>
        <v>#REF!</v>
      </c>
    </row>
    <row r="42">
      <c r="B42" s="57" t="s">
        <v>81</v>
      </c>
      <c r="C42" s="13"/>
      <c r="D42" s="58" t="s">
        <v>10</v>
      </c>
      <c r="E42" s="13"/>
      <c r="F42" s="50" t="s">
        <v>82</v>
      </c>
    </row>
    <row r="43">
      <c r="B43" s="36" t="s">
        <v>83</v>
      </c>
      <c r="C43" s="36" t="s">
        <v>61</v>
      </c>
      <c r="D43" s="37" t="s">
        <v>83</v>
      </c>
      <c r="E43" s="37" t="s">
        <v>61</v>
      </c>
      <c r="F43" s="53" t="s">
        <v>84</v>
      </c>
    </row>
    <row r="44">
      <c r="A44" s="59" t="s">
        <v>91</v>
      </c>
      <c r="B44" s="38">
        <v>0.0</v>
      </c>
      <c r="C44" s="38">
        <v>0.0</v>
      </c>
      <c r="D44" s="39">
        <v>0.0</v>
      </c>
      <c r="E44" s="39">
        <v>0.0</v>
      </c>
      <c r="F44" s="56">
        <v>0.0</v>
      </c>
    </row>
    <row r="45">
      <c r="A45" s="32" t="s">
        <v>65</v>
      </c>
      <c r="B45" s="32">
        <f>B44</f>
        <v>0</v>
      </c>
      <c r="C45" s="32">
        <f>C44*2</f>
        <v>0</v>
      </c>
      <c r="D45" s="45">
        <f>D44/2</f>
        <v>0</v>
      </c>
      <c r="E45" s="45">
        <f>E44</f>
        <v>0</v>
      </c>
      <c r="F45" s="45">
        <f>F44/5</f>
        <v>0</v>
      </c>
      <c r="G45" s="29" t="s">
        <v>86</v>
      </c>
      <c r="H45" s="43" t="s">
        <v>58</v>
      </c>
    </row>
    <row r="46">
      <c r="A46" s="32" t="s">
        <v>66</v>
      </c>
      <c r="B46" s="60">
        <f>B45+C45</f>
        <v>0</v>
      </c>
      <c r="C46" s="13"/>
      <c r="D46" s="60">
        <f>D45+E45</f>
        <v>0</v>
      </c>
      <c r="E46" s="13"/>
      <c r="F46" s="45">
        <f>F45</f>
        <v>0</v>
      </c>
      <c r="G46" s="43">
        <f>B46+D46+F46</f>
        <v>0</v>
      </c>
      <c r="H46" s="61">
        <f>G46/G47</f>
        <v>0</v>
      </c>
    </row>
    <row r="47">
      <c r="A47" s="32" t="s">
        <v>87</v>
      </c>
      <c r="B47" s="62" t="str">
        <f>#REF!</f>
        <v>#REF!</v>
      </c>
      <c r="C47" s="12"/>
      <c r="D47" s="12"/>
      <c r="E47" s="12"/>
      <c r="F47" s="13"/>
      <c r="G47" s="10">
        <v>4.4</v>
      </c>
    </row>
    <row r="54">
      <c r="B54" s="57" t="s">
        <v>81</v>
      </c>
      <c r="C54" s="13"/>
      <c r="D54" s="58" t="s">
        <v>10</v>
      </c>
      <c r="E54" s="13"/>
      <c r="F54" s="50" t="s">
        <v>82</v>
      </c>
    </row>
    <row r="55">
      <c r="B55" s="36" t="s">
        <v>83</v>
      </c>
      <c r="C55" s="36" t="s">
        <v>61</v>
      </c>
      <c r="D55" s="37" t="s">
        <v>83</v>
      </c>
      <c r="E55" s="37" t="s">
        <v>61</v>
      </c>
      <c r="F55" s="53" t="s">
        <v>84</v>
      </c>
    </row>
    <row r="56">
      <c r="A56" s="59" t="s">
        <v>73</v>
      </c>
      <c r="B56" s="38">
        <v>0.0</v>
      </c>
      <c r="C56" s="38">
        <v>0.0</v>
      </c>
      <c r="D56" s="39">
        <v>0.0</v>
      </c>
      <c r="E56" s="39">
        <v>0.0</v>
      </c>
      <c r="F56" s="56">
        <v>0.0</v>
      </c>
    </row>
    <row r="57">
      <c r="A57" s="32" t="s">
        <v>65</v>
      </c>
      <c r="B57" s="32">
        <f>B56</f>
        <v>0</v>
      </c>
      <c r="C57" s="32">
        <f>C56*2</f>
        <v>0</v>
      </c>
      <c r="D57" s="45">
        <f>D56/2</f>
        <v>0</v>
      </c>
      <c r="E57" s="45">
        <f>E56</f>
        <v>0</v>
      </c>
      <c r="F57" s="45">
        <f>F56/5</f>
        <v>0</v>
      </c>
      <c r="G57" s="29" t="s">
        <v>86</v>
      </c>
      <c r="H57" s="43" t="s">
        <v>58</v>
      </c>
    </row>
    <row r="58">
      <c r="A58" s="32" t="s">
        <v>66</v>
      </c>
      <c r="B58" s="60">
        <f>B57+C57</f>
        <v>0</v>
      </c>
      <c r="C58" s="13"/>
      <c r="D58" s="60">
        <f>D57+E57</f>
        <v>0</v>
      </c>
      <c r="E58" s="13"/>
      <c r="F58" s="45">
        <f>F57</f>
        <v>0</v>
      </c>
      <c r="G58" s="43">
        <f>B58+D58+F58</f>
        <v>0</v>
      </c>
      <c r="H58" s="61" t="str">
        <f>G58/G59</f>
        <v>#DIV/0!</v>
      </c>
    </row>
    <row r="59">
      <c r="A59" s="32" t="s">
        <v>87</v>
      </c>
      <c r="B59" s="62"/>
      <c r="C59" s="12"/>
      <c r="D59" s="12"/>
      <c r="E59" s="12"/>
      <c r="F59" s="13"/>
    </row>
    <row r="62">
      <c r="B62" s="57" t="s">
        <v>81</v>
      </c>
      <c r="C62" s="13"/>
      <c r="D62" s="58" t="s">
        <v>10</v>
      </c>
      <c r="E62" s="13"/>
      <c r="F62" s="50" t="s">
        <v>82</v>
      </c>
    </row>
    <row r="63">
      <c r="B63" s="36" t="s">
        <v>83</v>
      </c>
      <c r="C63" s="36" t="s">
        <v>61</v>
      </c>
      <c r="D63" s="37" t="s">
        <v>83</v>
      </c>
      <c r="E63" s="37" t="s">
        <v>61</v>
      </c>
      <c r="F63" s="53" t="s">
        <v>84</v>
      </c>
    </row>
    <row r="64">
      <c r="A64" s="59" t="s">
        <v>92</v>
      </c>
      <c r="B64" s="38">
        <v>0.0</v>
      </c>
      <c r="C64" s="38">
        <v>0.0</v>
      </c>
      <c r="D64" s="39">
        <v>0.0</v>
      </c>
      <c r="E64" s="39">
        <v>0.0</v>
      </c>
      <c r="F64" s="56">
        <v>0.0</v>
      </c>
    </row>
    <row r="65">
      <c r="A65" s="32" t="s">
        <v>65</v>
      </c>
      <c r="B65" s="32">
        <f>B64</f>
        <v>0</v>
      </c>
      <c r="C65" s="32">
        <f>C64*2</f>
        <v>0</v>
      </c>
      <c r="D65" s="45">
        <f>D64/2</f>
        <v>0</v>
      </c>
      <c r="E65" s="45">
        <f>E64</f>
        <v>0</v>
      </c>
      <c r="F65" s="45">
        <f>F64/5</f>
        <v>0</v>
      </c>
      <c r="G65" s="29" t="s">
        <v>86</v>
      </c>
    </row>
    <row r="66">
      <c r="A66" s="32" t="s">
        <v>66</v>
      </c>
      <c r="B66" s="60">
        <f>B65+C65</f>
        <v>0</v>
      </c>
      <c r="C66" s="13"/>
      <c r="D66" s="60">
        <f>D65+E65</f>
        <v>0</v>
      </c>
      <c r="E66" s="13"/>
      <c r="F66" s="45">
        <f>F65</f>
        <v>0</v>
      </c>
      <c r="G66" s="43">
        <f>B66+D66+F66</f>
        <v>0</v>
      </c>
    </row>
    <row r="67">
      <c r="A67" s="32" t="s">
        <v>87</v>
      </c>
      <c r="B67" s="62" t="str">
        <f>#REF!</f>
        <v>#REF!</v>
      </c>
      <c r="C67" s="12"/>
      <c r="D67" s="12"/>
      <c r="E67" s="12"/>
      <c r="F67" s="13"/>
    </row>
    <row r="70">
      <c r="B70" s="57" t="s">
        <v>81</v>
      </c>
      <c r="C70" s="13"/>
      <c r="D70" s="58" t="s">
        <v>10</v>
      </c>
      <c r="E70" s="13"/>
      <c r="F70" s="50" t="s">
        <v>82</v>
      </c>
    </row>
    <row r="71">
      <c r="B71" s="36" t="s">
        <v>83</v>
      </c>
      <c r="C71" s="36" t="s">
        <v>61</v>
      </c>
      <c r="D71" s="37" t="s">
        <v>83</v>
      </c>
      <c r="E71" s="37" t="s">
        <v>61</v>
      </c>
      <c r="F71" s="53" t="s">
        <v>84</v>
      </c>
    </row>
    <row r="72">
      <c r="A72" s="59" t="s">
        <v>93</v>
      </c>
      <c r="B72" s="38">
        <v>0.0</v>
      </c>
      <c r="C72" s="38">
        <v>0.0</v>
      </c>
      <c r="D72" s="39">
        <v>0.0</v>
      </c>
      <c r="E72" s="39">
        <v>0.0</v>
      </c>
      <c r="F72" s="56">
        <v>0.0</v>
      </c>
    </row>
    <row r="73">
      <c r="A73" s="32" t="s">
        <v>65</v>
      </c>
      <c r="B73" s="32">
        <f>B72</f>
        <v>0</v>
      </c>
      <c r="C73" s="32">
        <f>C72*2</f>
        <v>0</v>
      </c>
      <c r="D73" s="45">
        <f>D72/2</f>
        <v>0</v>
      </c>
      <c r="E73" s="45">
        <f>E72</f>
        <v>0</v>
      </c>
      <c r="F73" s="45">
        <f>F72/5</f>
        <v>0</v>
      </c>
      <c r="G73" s="29" t="s">
        <v>86</v>
      </c>
    </row>
    <row r="74">
      <c r="A74" s="32" t="s">
        <v>66</v>
      </c>
      <c r="B74" s="60">
        <f>B73+C73</f>
        <v>0</v>
      </c>
      <c r="C74" s="13"/>
      <c r="D74" s="60">
        <f>D73+E73</f>
        <v>0</v>
      </c>
      <c r="E74" s="13"/>
      <c r="F74" s="45">
        <f>F73</f>
        <v>0</v>
      </c>
      <c r="G74" s="43">
        <f>B74+D74+F74</f>
        <v>0</v>
      </c>
    </row>
    <row r="75">
      <c r="A75" s="32" t="s">
        <v>87</v>
      </c>
      <c r="B75" s="62" t="str">
        <f>#REF!</f>
        <v>#REF!</v>
      </c>
      <c r="C75" s="12"/>
      <c r="D75" s="12"/>
      <c r="E75" s="12"/>
      <c r="F75" s="13"/>
    </row>
    <row r="78">
      <c r="B78" s="57" t="s">
        <v>81</v>
      </c>
      <c r="C78" s="13"/>
      <c r="D78" s="58" t="s">
        <v>10</v>
      </c>
      <c r="E78" s="13"/>
      <c r="F78" s="50" t="s">
        <v>82</v>
      </c>
    </row>
    <row r="79">
      <c r="B79" s="36" t="s">
        <v>83</v>
      </c>
      <c r="C79" s="36" t="s">
        <v>61</v>
      </c>
      <c r="D79" s="37" t="s">
        <v>83</v>
      </c>
      <c r="E79" s="37" t="s">
        <v>61</v>
      </c>
      <c r="F79" s="53" t="s">
        <v>84</v>
      </c>
    </row>
    <row r="80">
      <c r="A80" s="59" t="s">
        <v>68</v>
      </c>
      <c r="B80" s="38">
        <v>0.0</v>
      </c>
      <c r="C80" s="38">
        <v>0.0</v>
      </c>
      <c r="D80" s="39">
        <v>0.0</v>
      </c>
      <c r="E80" s="39">
        <v>0.0</v>
      </c>
      <c r="F80" s="56">
        <v>0.0</v>
      </c>
    </row>
    <row r="81">
      <c r="A81" s="32" t="s">
        <v>65</v>
      </c>
      <c r="B81" s="32">
        <f>B80</f>
        <v>0</v>
      </c>
      <c r="C81" s="32">
        <f>C80*2</f>
        <v>0</v>
      </c>
      <c r="D81" s="45">
        <f>D80/2</f>
        <v>0</v>
      </c>
      <c r="E81" s="45">
        <f>E80</f>
        <v>0</v>
      </c>
      <c r="F81" s="45">
        <f>F80/5</f>
        <v>0</v>
      </c>
      <c r="G81" s="29" t="s">
        <v>86</v>
      </c>
    </row>
    <row r="82">
      <c r="A82" s="32" t="s">
        <v>66</v>
      </c>
      <c r="B82" s="60">
        <f>B81+C81</f>
        <v>0</v>
      </c>
      <c r="C82" s="13"/>
      <c r="D82" s="60">
        <f>D81+E81</f>
        <v>0</v>
      </c>
      <c r="E82" s="13"/>
      <c r="F82" s="45">
        <f>F81</f>
        <v>0</v>
      </c>
      <c r="G82" s="43">
        <f>B82+D82+F82</f>
        <v>0</v>
      </c>
    </row>
    <row r="83">
      <c r="A83" s="32" t="s">
        <v>87</v>
      </c>
      <c r="B83" s="62" t="str">
        <f>#REF!</f>
        <v>#REF!</v>
      </c>
      <c r="C83" s="12"/>
      <c r="D83" s="12"/>
      <c r="E83" s="12"/>
      <c r="F83" s="13"/>
    </row>
  </sheetData>
  <mergeCells count="45">
    <mergeCell ref="B4:C4"/>
    <mergeCell ref="D4:E4"/>
    <mergeCell ref="B8:C8"/>
    <mergeCell ref="D8:E8"/>
    <mergeCell ref="B9:F9"/>
    <mergeCell ref="B18:C18"/>
    <mergeCell ref="D18:E18"/>
    <mergeCell ref="B22:C22"/>
    <mergeCell ref="D22:E22"/>
    <mergeCell ref="B23:F23"/>
    <mergeCell ref="B26:C26"/>
    <mergeCell ref="D26:E26"/>
    <mergeCell ref="D30:E30"/>
    <mergeCell ref="B31:F31"/>
    <mergeCell ref="B30:C30"/>
    <mergeCell ref="B34:C34"/>
    <mergeCell ref="D34:E34"/>
    <mergeCell ref="B38:C38"/>
    <mergeCell ref="D38:E38"/>
    <mergeCell ref="B39:F39"/>
    <mergeCell ref="D42:E42"/>
    <mergeCell ref="B42:C42"/>
    <mergeCell ref="B46:C46"/>
    <mergeCell ref="D46:E46"/>
    <mergeCell ref="B47:F47"/>
    <mergeCell ref="B54:C54"/>
    <mergeCell ref="D54:E54"/>
    <mergeCell ref="B58:C58"/>
    <mergeCell ref="D58:E58"/>
    <mergeCell ref="B59:F59"/>
    <mergeCell ref="B62:C62"/>
    <mergeCell ref="D62:E62"/>
    <mergeCell ref="B66:C66"/>
    <mergeCell ref="D66:E66"/>
    <mergeCell ref="B67:F67"/>
    <mergeCell ref="B82:C82"/>
    <mergeCell ref="D82:E82"/>
    <mergeCell ref="B83:F83"/>
    <mergeCell ref="B70:C70"/>
    <mergeCell ref="D70:E70"/>
    <mergeCell ref="B74:C74"/>
    <mergeCell ref="D74:E74"/>
    <mergeCell ref="B75:F75"/>
    <mergeCell ref="B78:C78"/>
    <mergeCell ref="D78:E78"/>
  </mergeCells>
  <drawing r:id="rId1"/>
</worksheet>
</file>